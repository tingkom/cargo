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240"/>
  </bookViews>
  <sheets>
    <sheet name="京258库飞机-第146单-2015-10-06-15包" sheetId="1" r:id="rId1"/>
  </sheets>
  <calcPr calcId="124519"/>
</workbook>
</file>

<file path=xl/calcChain.xml><?xml version="1.0" encoding="utf-8"?>
<calcChain xmlns="http://schemas.openxmlformats.org/spreadsheetml/2006/main">
  <c r="H27" i="1"/>
  <c r="H25"/>
  <c r="H18"/>
  <c r="H17"/>
  <c r="H14"/>
  <c r="H13"/>
  <c r="H12"/>
  <c r="H11"/>
  <c r="H10"/>
  <c r="H9"/>
  <c r="H8"/>
  <c r="H7"/>
  <c r="H6"/>
  <c r="H5"/>
  <c r="H4"/>
</calcChain>
</file>

<file path=xl/sharedStrings.xml><?xml version="1.0" encoding="utf-8"?>
<sst xmlns="http://schemas.openxmlformats.org/spreadsheetml/2006/main" count="112" uniqueCount="60">
  <si>
    <t>京258库飞机-第146单-2015-10-06-15包</t>
  </si>
  <si>
    <t>出库单位：258库飞机</t>
  </si>
  <si>
    <t>日期：2015-10-06</t>
  </si>
  <si>
    <t>总包数：15</t>
  </si>
  <si>
    <t>总数量：886</t>
  </si>
  <si>
    <t>总体积：5.373</t>
  </si>
  <si>
    <t>货主</t>
  </si>
  <si>
    <t>入库日期</t>
  </si>
  <si>
    <t>包数</t>
  </si>
  <si>
    <t>品名</t>
  </si>
  <si>
    <t>件数</t>
  </si>
  <si>
    <t>单价</t>
  </si>
  <si>
    <t>总货值</t>
  </si>
  <si>
    <t>公斤数</t>
  </si>
  <si>
    <t>立方数</t>
  </si>
  <si>
    <t>品牌</t>
  </si>
  <si>
    <t>备注</t>
  </si>
  <si>
    <t>MS6700</t>
  </si>
  <si>
    <t>2015-10-06</t>
  </si>
  <si>
    <t>女棉服</t>
  </si>
  <si>
    <t>MS6517</t>
  </si>
  <si>
    <t>1）54件 93.8kg  2）54件  92kg</t>
  </si>
  <si>
    <t>MS0467</t>
  </si>
  <si>
    <t>1）50件 86.8kg 2）50件 87kg 3）50件 86.4kg 4）50件 86.6kg 5）50件 73.2kg</t>
  </si>
  <si>
    <t>ML0956</t>
  </si>
  <si>
    <t>2015-10-05</t>
  </si>
  <si>
    <t>女棉服32kg</t>
  </si>
  <si>
    <t>PEERCAT</t>
  </si>
  <si>
    <t>MS0670</t>
  </si>
  <si>
    <t>裙子30kg</t>
  </si>
  <si>
    <t>MENGKEHUI</t>
  </si>
  <si>
    <t>女毛衣</t>
  </si>
  <si>
    <t>无</t>
  </si>
  <si>
    <t>ML6711</t>
  </si>
  <si>
    <t>女棉服20.5kg</t>
  </si>
  <si>
    <t>WEITRAI</t>
  </si>
  <si>
    <t>h7870</t>
  </si>
  <si>
    <t>女棉服30kg</t>
  </si>
  <si>
    <t>BATTERFLEI</t>
  </si>
  <si>
    <t>ML0919</t>
  </si>
  <si>
    <t>女童革包</t>
  </si>
  <si>
    <t>K</t>
  </si>
  <si>
    <t>ML12257</t>
  </si>
  <si>
    <t>女童棉服</t>
  </si>
  <si>
    <t>K (阿玛尼）</t>
  </si>
  <si>
    <t>女童毛衣</t>
  </si>
  <si>
    <t>VERALBA</t>
  </si>
  <si>
    <t>1）49.5kg-30件 2）48.5kg-30件</t>
  </si>
  <si>
    <t>ML6972</t>
  </si>
  <si>
    <t>女小衫</t>
  </si>
  <si>
    <t>女连衣裙</t>
  </si>
  <si>
    <t>K BALMAIN</t>
  </si>
  <si>
    <t>NAIXIYA</t>
  </si>
  <si>
    <t>女大衣</t>
  </si>
  <si>
    <t>MONICA MILANO</t>
  </si>
  <si>
    <t>CLASSICFASHON</t>
  </si>
  <si>
    <t>总货值$</t>
    <phoneticPr fontId="1" type="noConversion"/>
  </si>
  <si>
    <t>219500元=35402$</t>
    <phoneticPr fontId="1" type="noConversion"/>
  </si>
  <si>
    <t>城市</t>
    <phoneticPr fontId="1" type="noConversion"/>
  </si>
  <si>
    <t>莫斯科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</si>
</sst>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&quot;￥&quot;#,##0;[Red]&quot;￥&quot;#,##0"/>
  </numFmts>
  <fonts count="10">
    <font>
      <sz val="11"/>
      <color theme="1"/>
      <name val="宋体"/>
      <family val="2"/>
      <charset val="134"/>
      <scheme val="minor"/>
    </font>
    <font>
      <b/>
      <sz val="18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宋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8"/>
  <sheetViews>
    <sheetView tabSelected="1" workbookViewId="0">
      <selection activeCell="A5" sqref="A5:A27"/>
    </sheetView>
  </sheetViews>
  <sheetFormatPr defaultRowHeight="13.5"/>
  <cols>
    <col min="1" max="1" width="10" customWidth="1"/>
    <col min="2" max="2" width="9.75" customWidth="1"/>
    <col min="3" max="3" width="11.125" customWidth="1"/>
    <col min="4" max="4" width="6.25" customWidth="1"/>
    <col min="5" max="5" width="11.5" customWidth="1"/>
    <col min="6" max="6" width="7.375" customWidth="1"/>
    <col min="7" max="7" width="8.875" customWidth="1"/>
    <col min="8" max="9" width="10" customWidth="1"/>
    <col min="10" max="10" width="7.25" customWidth="1"/>
    <col min="11" max="11" width="6.875" customWidth="1"/>
    <col min="12" max="12" width="9.5" customWidth="1"/>
    <col min="13" max="13" width="27.625" customWidth="1"/>
  </cols>
  <sheetData>
    <row r="1" spans="1:13" ht="26.25" customHeight="1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6.25" customHeight="1">
      <c r="A2" s="2"/>
      <c r="B2" s="23" t="s">
        <v>1</v>
      </c>
      <c r="C2" s="25"/>
      <c r="D2" s="23" t="s">
        <v>2</v>
      </c>
      <c r="E2" s="24"/>
      <c r="F2" s="23" t="s">
        <v>3</v>
      </c>
      <c r="G2" s="25"/>
      <c r="H2" s="13" t="s">
        <v>57</v>
      </c>
      <c r="I2" s="15"/>
      <c r="J2" s="13" t="s">
        <v>4</v>
      </c>
      <c r="K2" s="14"/>
      <c r="L2" s="15"/>
      <c r="M2" s="6" t="s">
        <v>5</v>
      </c>
    </row>
    <row r="3" spans="1:13" ht="29.25" customHeight="1">
      <c r="A3" s="3" t="s">
        <v>58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56</v>
      </c>
      <c r="J3" s="5" t="s">
        <v>13</v>
      </c>
      <c r="K3" s="5" t="s">
        <v>14</v>
      </c>
      <c r="L3" s="5" t="s">
        <v>15</v>
      </c>
      <c r="M3" s="5" t="s">
        <v>16</v>
      </c>
    </row>
    <row r="4" spans="1:13" ht="24.75" customHeight="1">
      <c r="A4" s="4" t="s">
        <v>59</v>
      </c>
      <c r="B4" s="11" t="s">
        <v>17</v>
      </c>
      <c r="C4" s="11" t="s">
        <v>18</v>
      </c>
      <c r="D4" s="22">
        <v>1</v>
      </c>
      <c r="E4" s="7" t="s">
        <v>19</v>
      </c>
      <c r="F4" s="8">
        <v>36</v>
      </c>
      <c r="G4" s="10">
        <v>480</v>
      </c>
      <c r="H4" s="10">
        <f>F4*G4</f>
        <v>17280</v>
      </c>
      <c r="I4" s="7">
        <v>2787</v>
      </c>
      <c r="J4" s="11">
        <v>91</v>
      </c>
      <c r="K4" s="11">
        <v>0.36199999999999999</v>
      </c>
      <c r="L4" s="7"/>
      <c r="M4" s="11"/>
    </row>
    <row r="5" spans="1:13" ht="24.75" customHeight="1">
      <c r="A5" s="4" t="s">
        <v>59</v>
      </c>
      <c r="B5" s="11"/>
      <c r="C5" s="11"/>
      <c r="D5" s="22"/>
      <c r="E5" s="7" t="s">
        <v>19</v>
      </c>
      <c r="F5" s="8">
        <v>18</v>
      </c>
      <c r="G5" s="10">
        <v>390</v>
      </c>
      <c r="H5" s="10">
        <f t="shared" ref="H5:H14" si="0">F5*G5</f>
        <v>7020</v>
      </c>
      <c r="I5" s="7">
        <v>1132</v>
      </c>
      <c r="J5" s="11"/>
      <c r="K5" s="11"/>
      <c r="L5" s="7"/>
      <c r="M5" s="11"/>
    </row>
    <row r="6" spans="1:13" ht="24.75" customHeight="1">
      <c r="A6" s="4" t="s">
        <v>59</v>
      </c>
      <c r="B6" s="7" t="s">
        <v>20</v>
      </c>
      <c r="C6" s="7" t="s">
        <v>18</v>
      </c>
      <c r="D6" s="9">
        <v>2</v>
      </c>
      <c r="E6" s="7" t="s">
        <v>19</v>
      </c>
      <c r="F6" s="8">
        <v>108</v>
      </c>
      <c r="G6" s="10">
        <v>340</v>
      </c>
      <c r="H6" s="10">
        <f t="shared" si="0"/>
        <v>36720</v>
      </c>
      <c r="I6" s="7">
        <v>5923</v>
      </c>
      <c r="J6" s="7">
        <v>185.8</v>
      </c>
      <c r="K6" s="7">
        <v>0.79</v>
      </c>
      <c r="L6" s="7"/>
      <c r="M6" s="7" t="s">
        <v>21</v>
      </c>
    </row>
    <row r="7" spans="1:13" ht="24.75" customHeight="1">
      <c r="A7" s="4" t="s">
        <v>59</v>
      </c>
      <c r="B7" s="11" t="s">
        <v>22</v>
      </c>
      <c r="C7" s="11" t="s">
        <v>18</v>
      </c>
      <c r="D7" s="22">
        <v>5</v>
      </c>
      <c r="E7" s="7" t="s">
        <v>19</v>
      </c>
      <c r="F7" s="8">
        <v>50</v>
      </c>
      <c r="G7" s="10">
        <v>310</v>
      </c>
      <c r="H7" s="10">
        <f t="shared" si="0"/>
        <v>15500</v>
      </c>
      <c r="I7" s="7">
        <v>2500</v>
      </c>
      <c r="J7" s="11">
        <v>420</v>
      </c>
      <c r="K7" s="11">
        <v>1.73</v>
      </c>
      <c r="L7" s="7"/>
      <c r="M7" s="11" t="s">
        <v>23</v>
      </c>
    </row>
    <row r="8" spans="1:13" ht="24.75" customHeight="1">
      <c r="A8" s="4" t="s">
        <v>59</v>
      </c>
      <c r="B8" s="11"/>
      <c r="C8" s="11"/>
      <c r="D8" s="22"/>
      <c r="E8" s="7" t="s">
        <v>19</v>
      </c>
      <c r="F8" s="8">
        <v>200</v>
      </c>
      <c r="G8" s="10">
        <v>310</v>
      </c>
      <c r="H8" s="10">
        <f t="shared" si="0"/>
        <v>62000</v>
      </c>
      <c r="I8" s="7">
        <v>10000</v>
      </c>
      <c r="J8" s="11"/>
      <c r="K8" s="11"/>
      <c r="L8" s="7"/>
      <c r="M8" s="11"/>
    </row>
    <row r="9" spans="1:13" ht="24.75" customHeight="1">
      <c r="A9" s="4" t="s">
        <v>59</v>
      </c>
      <c r="B9" s="7" t="s">
        <v>24</v>
      </c>
      <c r="C9" s="7" t="s">
        <v>25</v>
      </c>
      <c r="D9" s="22">
        <v>1</v>
      </c>
      <c r="E9" s="7" t="s">
        <v>26</v>
      </c>
      <c r="F9" s="8">
        <v>20</v>
      </c>
      <c r="G9" s="10">
        <v>400</v>
      </c>
      <c r="H9" s="10">
        <f t="shared" si="0"/>
        <v>8000</v>
      </c>
      <c r="I9" s="7">
        <v>1290</v>
      </c>
      <c r="J9" s="11">
        <v>62</v>
      </c>
      <c r="K9" s="11">
        <v>0.45200000000000001</v>
      </c>
      <c r="L9" s="7" t="s">
        <v>27</v>
      </c>
      <c r="M9" s="11"/>
    </row>
    <row r="10" spans="1:13" ht="24.75" customHeight="1">
      <c r="A10" s="4" t="s">
        <v>59</v>
      </c>
      <c r="B10" s="16" t="s">
        <v>28</v>
      </c>
      <c r="C10" s="16" t="s">
        <v>18</v>
      </c>
      <c r="D10" s="22"/>
      <c r="E10" s="7" t="s">
        <v>29</v>
      </c>
      <c r="F10" s="8">
        <v>30</v>
      </c>
      <c r="G10" s="10">
        <v>60</v>
      </c>
      <c r="H10" s="10">
        <f t="shared" si="0"/>
        <v>1800</v>
      </c>
      <c r="I10" s="7">
        <v>290</v>
      </c>
      <c r="J10" s="11"/>
      <c r="K10" s="11"/>
      <c r="L10" s="7" t="s">
        <v>30</v>
      </c>
      <c r="M10" s="11"/>
    </row>
    <row r="11" spans="1:13" ht="24.75" customHeight="1">
      <c r="A11" s="4" t="s">
        <v>59</v>
      </c>
      <c r="B11" s="17"/>
      <c r="C11" s="17"/>
      <c r="D11" s="22"/>
      <c r="E11" s="7" t="s">
        <v>31</v>
      </c>
      <c r="F11" s="8">
        <v>19</v>
      </c>
      <c r="G11" s="10">
        <v>100</v>
      </c>
      <c r="H11" s="10">
        <f t="shared" si="0"/>
        <v>1900</v>
      </c>
      <c r="I11" s="7">
        <v>306</v>
      </c>
      <c r="J11" s="11"/>
      <c r="K11" s="11"/>
      <c r="L11" s="7" t="s">
        <v>32</v>
      </c>
      <c r="M11" s="11"/>
    </row>
    <row r="12" spans="1:13" ht="24.75" customHeight="1">
      <c r="A12" s="4" t="s">
        <v>59</v>
      </c>
      <c r="B12" s="7" t="s">
        <v>33</v>
      </c>
      <c r="C12" s="7" t="s">
        <v>25</v>
      </c>
      <c r="D12" s="22">
        <v>1</v>
      </c>
      <c r="E12" s="7" t="s">
        <v>34</v>
      </c>
      <c r="F12" s="8">
        <v>12</v>
      </c>
      <c r="G12" s="10">
        <v>995</v>
      </c>
      <c r="H12" s="10">
        <f t="shared" si="0"/>
        <v>11940</v>
      </c>
      <c r="I12" s="7">
        <v>1926</v>
      </c>
      <c r="J12" s="11">
        <v>52</v>
      </c>
      <c r="K12" s="11">
        <v>0.44900000000000001</v>
      </c>
      <c r="L12" s="7" t="s">
        <v>35</v>
      </c>
      <c r="M12" s="7"/>
    </row>
    <row r="13" spans="1:13" ht="24.75" customHeight="1">
      <c r="A13" s="4" t="s">
        <v>59</v>
      </c>
      <c r="B13" s="7" t="s">
        <v>36</v>
      </c>
      <c r="C13" s="7" t="s">
        <v>25</v>
      </c>
      <c r="D13" s="22"/>
      <c r="E13" s="7" t="s">
        <v>37</v>
      </c>
      <c r="F13" s="8">
        <v>18</v>
      </c>
      <c r="G13" s="10">
        <v>550</v>
      </c>
      <c r="H13" s="10">
        <f t="shared" si="0"/>
        <v>9900</v>
      </c>
      <c r="I13" s="7">
        <v>1597</v>
      </c>
      <c r="J13" s="11"/>
      <c r="K13" s="11"/>
      <c r="L13" s="7" t="s">
        <v>38</v>
      </c>
      <c r="M13" s="7"/>
    </row>
    <row r="14" spans="1:13" ht="24.75" customHeight="1">
      <c r="A14" s="4" t="s">
        <v>59</v>
      </c>
      <c r="B14" s="7" t="s">
        <v>39</v>
      </c>
      <c r="C14" s="7" t="s">
        <v>18</v>
      </c>
      <c r="D14" s="9">
        <v>1</v>
      </c>
      <c r="E14" s="7" t="s">
        <v>40</v>
      </c>
      <c r="F14" s="8">
        <v>100</v>
      </c>
      <c r="G14" s="10">
        <v>42</v>
      </c>
      <c r="H14" s="10">
        <f t="shared" si="0"/>
        <v>4200</v>
      </c>
      <c r="I14" s="7">
        <v>677</v>
      </c>
      <c r="J14" s="7">
        <v>38.5</v>
      </c>
      <c r="K14" s="7">
        <v>0.215</v>
      </c>
      <c r="L14" s="7" t="s">
        <v>41</v>
      </c>
      <c r="M14" s="7"/>
    </row>
    <row r="15" spans="1:13" ht="24.75" customHeight="1">
      <c r="A15" s="4" t="s">
        <v>59</v>
      </c>
      <c r="B15" s="11" t="s">
        <v>42</v>
      </c>
      <c r="C15" s="11" t="s">
        <v>18</v>
      </c>
      <c r="D15" s="22">
        <v>1</v>
      </c>
      <c r="E15" s="7" t="s">
        <v>43</v>
      </c>
      <c r="F15" s="8">
        <v>59</v>
      </c>
      <c r="G15" s="10"/>
      <c r="H15" s="18">
        <v>7000</v>
      </c>
      <c r="I15" s="16">
        <v>1129</v>
      </c>
      <c r="J15" s="11">
        <v>47.5</v>
      </c>
      <c r="K15" s="11">
        <v>0.36499999999999999</v>
      </c>
      <c r="L15" s="7" t="s">
        <v>44</v>
      </c>
      <c r="M15" s="11"/>
    </row>
    <row r="16" spans="1:13" ht="24.75" customHeight="1">
      <c r="A16" s="4" t="s">
        <v>59</v>
      </c>
      <c r="B16" s="11"/>
      <c r="C16" s="11"/>
      <c r="D16" s="22"/>
      <c r="E16" s="7" t="s">
        <v>45</v>
      </c>
      <c r="F16" s="8">
        <v>28</v>
      </c>
      <c r="G16" s="10"/>
      <c r="H16" s="19"/>
      <c r="I16" s="17"/>
      <c r="J16" s="11"/>
      <c r="K16" s="11"/>
      <c r="L16" s="7" t="s">
        <v>44</v>
      </c>
      <c r="M16" s="11"/>
    </row>
    <row r="17" spans="1:13" ht="24.75" customHeight="1">
      <c r="A17" s="4" t="s">
        <v>59</v>
      </c>
      <c r="B17" s="11" t="s">
        <v>22</v>
      </c>
      <c r="C17" s="11" t="s">
        <v>18</v>
      </c>
      <c r="D17" s="22">
        <v>2</v>
      </c>
      <c r="E17" s="7" t="s">
        <v>19</v>
      </c>
      <c r="F17" s="8">
        <v>50</v>
      </c>
      <c r="G17" s="10">
        <v>300</v>
      </c>
      <c r="H17" s="10">
        <f t="shared" ref="H17:H18" si="1">F17*G17</f>
        <v>15000</v>
      </c>
      <c r="I17" s="7">
        <v>2419</v>
      </c>
      <c r="J17" s="11">
        <v>98</v>
      </c>
      <c r="K17" s="11">
        <v>0.65100000000000002</v>
      </c>
      <c r="L17" s="7" t="s">
        <v>46</v>
      </c>
      <c r="M17" s="11" t="s">
        <v>47</v>
      </c>
    </row>
    <row r="18" spans="1:13" ht="24.75" customHeight="1">
      <c r="A18" s="4" t="s">
        <v>59</v>
      </c>
      <c r="B18" s="11"/>
      <c r="C18" s="11"/>
      <c r="D18" s="22"/>
      <c r="E18" s="7" t="s">
        <v>19</v>
      </c>
      <c r="F18" s="8">
        <v>10</v>
      </c>
      <c r="G18" s="10">
        <v>300</v>
      </c>
      <c r="H18" s="10">
        <f t="shared" si="1"/>
        <v>3000</v>
      </c>
      <c r="I18" s="7">
        <v>484</v>
      </c>
      <c r="J18" s="11"/>
      <c r="K18" s="11"/>
      <c r="L18" s="7" t="s">
        <v>46</v>
      </c>
      <c r="M18" s="11"/>
    </row>
    <row r="19" spans="1:13" ht="24.75" customHeight="1">
      <c r="A19" s="4" t="s">
        <v>59</v>
      </c>
      <c r="B19" s="16" t="s">
        <v>48</v>
      </c>
      <c r="C19" s="16" t="s">
        <v>18</v>
      </c>
      <c r="D19" s="22">
        <v>1</v>
      </c>
      <c r="E19" s="7" t="s">
        <v>31</v>
      </c>
      <c r="F19" s="8">
        <v>8</v>
      </c>
      <c r="G19" s="10"/>
      <c r="H19" s="18">
        <v>3400</v>
      </c>
      <c r="I19" s="16">
        <v>548</v>
      </c>
      <c r="J19" s="11">
        <v>77</v>
      </c>
      <c r="K19" s="11">
        <v>0.35899999999999999</v>
      </c>
      <c r="L19" s="7" t="s">
        <v>32</v>
      </c>
      <c r="M19" s="11"/>
    </row>
    <row r="20" spans="1:13" ht="24.75" customHeight="1">
      <c r="A20" s="4" t="s">
        <v>59</v>
      </c>
      <c r="B20" s="21"/>
      <c r="C20" s="21"/>
      <c r="D20" s="22"/>
      <c r="E20" s="7" t="s">
        <v>49</v>
      </c>
      <c r="F20" s="8">
        <v>15</v>
      </c>
      <c r="G20" s="10"/>
      <c r="H20" s="20"/>
      <c r="I20" s="21"/>
      <c r="J20" s="11"/>
      <c r="K20" s="11"/>
      <c r="L20" s="7" t="s">
        <v>32</v>
      </c>
      <c r="M20" s="11"/>
    </row>
    <row r="21" spans="1:13" ht="24.75" customHeight="1">
      <c r="A21" s="4" t="s">
        <v>59</v>
      </c>
      <c r="B21" s="21"/>
      <c r="C21" s="21"/>
      <c r="D21" s="22"/>
      <c r="E21" s="7" t="s">
        <v>50</v>
      </c>
      <c r="F21" s="8">
        <v>14</v>
      </c>
      <c r="G21" s="10"/>
      <c r="H21" s="19"/>
      <c r="I21" s="17"/>
      <c r="J21" s="11"/>
      <c r="K21" s="11"/>
      <c r="L21" s="7" t="s">
        <v>32</v>
      </c>
      <c r="M21" s="11"/>
    </row>
    <row r="22" spans="1:13" ht="24.75" customHeight="1">
      <c r="A22" s="4" t="s">
        <v>59</v>
      </c>
      <c r="B22" s="21"/>
      <c r="C22" s="21"/>
      <c r="D22" s="22"/>
      <c r="E22" s="7" t="s">
        <v>50</v>
      </c>
      <c r="F22" s="8">
        <v>11</v>
      </c>
      <c r="G22" s="10"/>
      <c r="H22" s="10">
        <v>1600</v>
      </c>
      <c r="I22" s="7">
        <v>258</v>
      </c>
      <c r="J22" s="11"/>
      <c r="K22" s="11"/>
      <c r="L22" s="7" t="s">
        <v>51</v>
      </c>
      <c r="M22" s="11"/>
    </row>
    <row r="23" spans="1:13" ht="24.75" customHeight="1">
      <c r="A23" s="4" t="s">
        <v>59</v>
      </c>
      <c r="B23" s="21"/>
      <c r="C23" s="21"/>
      <c r="D23" s="22"/>
      <c r="E23" s="7" t="s">
        <v>31</v>
      </c>
      <c r="F23" s="8">
        <v>21</v>
      </c>
      <c r="G23" s="10"/>
      <c r="H23" s="10">
        <v>3100</v>
      </c>
      <c r="I23" s="7">
        <v>500</v>
      </c>
      <c r="J23" s="11"/>
      <c r="K23" s="11"/>
      <c r="L23" s="7" t="s">
        <v>52</v>
      </c>
      <c r="M23" s="11"/>
    </row>
    <row r="24" spans="1:13" ht="24.75" customHeight="1">
      <c r="A24" s="4" t="s">
        <v>59</v>
      </c>
      <c r="B24" s="21"/>
      <c r="C24" s="21"/>
      <c r="D24" s="22"/>
      <c r="E24" s="7" t="s">
        <v>53</v>
      </c>
      <c r="F24" s="8">
        <v>16</v>
      </c>
      <c r="G24" s="10"/>
      <c r="H24" s="10">
        <v>5200</v>
      </c>
      <c r="I24" s="7">
        <v>839</v>
      </c>
      <c r="J24" s="11"/>
      <c r="K24" s="11"/>
      <c r="L24" s="7" t="s">
        <v>32</v>
      </c>
      <c r="M24" s="11"/>
    </row>
    <row r="25" spans="1:13" ht="24.75" customHeight="1">
      <c r="A25" s="4" t="s">
        <v>59</v>
      </c>
      <c r="B25" s="21"/>
      <c r="C25" s="21"/>
      <c r="D25" s="22"/>
      <c r="E25" s="7" t="s">
        <v>50</v>
      </c>
      <c r="F25" s="8">
        <v>4</v>
      </c>
      <c r="G25" s="10">
        <v>200</v>
      </c>
      <c r="H25" s="10">
        <f>F25*G25</f>
        <v>800</v>
      </c>
      <c r="I25" s="7">
        <v>129</v>
      </c>
      <c r="J25" s="11"/>
      <c r="K25" s="11"/>
      <c r="L25" s="7" t="s">
        <v>54</v>
      </c>
      <c r="M25" s="11"/>
    </row>
    <row r="26" spans="1:13" ht="24.75" customHeight="1">
      <c r="A26" s="4" t="s">
        <v>59</v>
      </c>
      <c r="B26" s="21"/>
      <c r="C26" s="21"/>
      <c r="D26" s="22"/>
      <c r="E26" s="7" t="s">
        <v>50</v>
      </c>
      <c r="F26" s="8">
        <v>33</v>
      </c>
      <c r="G26" s="10"/>
      <c r="H26" s="10">
        <v>3000</v>
      </c>
      <c r="I26" s="7">
        <v>484</v>
      </c>
      <c r="J26" s="11"/>
      <c r="K26" s="11"/>
      <c r="L26" s="7" t="s">
        <v>32</v>
      </c>
      <c r="M26" s="11"/>
    </row>
    <row r="27" spans="1:13" ht="24.75" customHeight="1">
      <c r="A27" s="4" t="s">
        <v>59</v>
      </c>
      <c r="B27" s="17"/>
      <c r="C27" s="17"/>
      <c r="D27" s="22"/>
      <c r="E27" s="7" t="s">
        <v>50</v>
      </c>
      <c r="F27" s="8">
        <v>6</v>
      </c>
      <c r="G27" s="10">
        <v>190</v>
      </c>
      <c r="H27" s="10">
        <f>F27*G27</f>
        <v>1140</v>
      </c>
      <c r="I27" s="7">
        <v>184</v>
      </c>
      <c r="J27" s="11"/>
      <c r="K27" s="11"/>
      <c r="L27" s="7" t="s">
        <v>55</v>
      </c>
      <c r="M27" s="11"/>
    </row>
    <row r="28" spans="1:13" ht="24.75" customHeight="1"/>
    <row r="29" spans="1:13" ht="24.75" customHeight="1"/>
    <row r="30" spans="1:13" ht="24.75" customHeight="1"/>
    <row r="31" spans="1:13" ht="24.75" customHeight="1"/>
    <row r="32" spans="1:13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</sheetData>
  <mergeCells count="49">
    <mergeCell ref="B7:B8"/>
    <mergeCell ref="C7:C8"/>
    <mergeCell ref="D9:D11"/>
    <mergeCell ref="J9:J11"/>
    <mergeCell ref="K9:K11"/>
    <mergeCell ref="C4:C5"/>
    <mergeCell ref="H2:I2"/>
    <mergeCell ref="D2:E2"/>
    <mergeCell ref="F2:G2"/>
    <mergeCell ref="B2:C2"/>
    <mergeCell ref="B4:B5"/>
    <mergeCell ref="J2:L2"/>
    <mergeCell ref="M9:M11"/>
    <mergeCell ref="D12:D13"/>
    <mergeCell ref="J12:J13"/>
    <mergeCell ref="K12:K13"/>
    <mergeCell ref="D4:D5"/>
    <mergeCell ref="J4:J5"/>
    <mergeCell ref="K4:K5"/>
    <mergeCell ref="M4:M5"/>
    <mergeCell ref="D7:D8"/>
    <mergeCell ref="J7:J8"/>
    <mergeCell ref="K7:K8"/>
    <mergeCell ref="M7:M8"/>
    <mergeCell ref="D15:D16"/>
    <mergeCell ref="J15:J16"/>
    <mergeCell ref="K15:K16"/>
    <mergeCell ref="M15:M16"/>
    <mergeCell ref="B15:B16"/>
    <mergeCell ref="C15:C16"/>
    <mergeCell ref="I15:I16"/>
    <mergeCell ref="K17:K18"/>
    <mergeCell ref="M17:M18"/>
    <mergeCell ref="B17:B18"/>
    <mergeCell ref="C17:C18"/>
    <mergeCell ref="C19:C27"/>
    <mergeCell ref="B19:B27"/>
    <mergeCell ref="I19:I21"/>
    <mergeCell ref="D17:D18"/>
    <mergeCell ref="J17:J18"/>
    <mergeCell ref="D19:D27"/>
    <mergeCell ref="J19:J27"/>
    <mergeCell ref="K19:K27"/>
    <mergeCell ref="M19:M27"/>
    <mergeCell ref="B1:M1"/>
    <mergeCell ref="C10:C11"/>
    <mergeCell ref="B10:B11"/>
    <mergeCell ref="H15:H16"/>
    <mergeCell ref="H19:H21"/>
  </mergeCells>
  <phoneticPr fontId="1" type="noConversion"/>
  <printOptions verticalCentered="1"/>
  <pageMargins left="0.11811023622047" right="0.11811023622047" top="0.11811023622047" bottom="0.11811023622047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京258库飞机-第146单-2015-10-06-15包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微软用户</cp:lastModifiedBy>
  <dcterms:created xsi:type="dcterms:W3CDTF">2011-12-31T06:39:17Z</dcterms:created>
  <dcterms:modified xsi:type="dcterms:W3CDTF">2015-10-06T15:11:33Z</dcterms:modified>
</cp:coreProperties>
</file>