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10" windowHeight="10350"/>
  </bookViews>
  <sheets>
    <sheet name="京258库飞机-第145单-2015-10-05-16包" sheetId="1" r:id="rId1"/>
  </sheets>
  <calcPr calcId="144525"/>
</workbook>
</file>

<file path=xl/sharedStrings.xml><?xml version="1.0" encoding="utf-8"?>
<sst xmlns="http://schemas.openxmlformats.org/spreadsheetml/2006/main" count="77">
  <si>
    <t>京258库飞机-第145单-2015-10-05-16包</t>
  </si>
  <si>
    <t>城市</t>
  </si>
  <si>
    <t>出库单位：258库飞机</t>
  </si>
  <si>
    <t>日期：2015-10-05</t>
  </si>
  <si>
    <t>总包数：16</t>
  </si>
  <si>
    <t>185905￥=29983$</t>
  </si>
  <si>
    <t>总数量：1469</t>
  </si>
  <si>
    <t>总重量：1034.0</t>
  </si>
  <si>
    <t>总体积：5.974</t>
  </si>
  <si>
    <t>货主</t>
  </si>
  <si>
    <t>入库日期</t>
  </si>
  <si>
    <t>包数</t>
  </si>
  <si>
    <t>品名</t>
  </si>
  <si>
    <t>件数</t>
  </si>
  <si>
    <t>单价</t>
  </si>
  <si>
    <t>总货值</t>
  </si>
  <si>
    <t>总货值$</t>
  </si>
  <si>
    <t>公斤数</t>
  </si>
  <si>
    <t>立方数</t>
  </si>
  <si>
    <t>品牌</t>
  </si>
  <si>
    <t>备注</t>
  </si>
  <si>
    <t>莫斯科</t>
  </si>
  <si>
    <t>MS0008</t>
  </si>
  <si>
    <t>2015-10-05</t>
  </si>
  <si>
    <t>男毛衣</t>
  </si>
  <si>
    <t>K  CK</t>
  </si>
  <si>
    <t>1）65.5kg-152件 2）61.5kg-126件 3）68.5kg-158件</t>
  </si>
  <si>
    <t>男衬衫</t>
  </si>
  <si>
    <t>MT2828A</t>
  </si>
  <si>
    <t>女棉服</t>
  </si>
  <si>
    <t>JINYA</t>
  </si>
  <si>
    <t>1）53.5kg-51件 2）54kg-51件</t>
  </si>
  <si>
    <t>MS12466</t>
  </si>
  <si>
    <t>TOWMY</t>
  </si>
  <si>
    <t>1）79kg-56件 2）76kg-52件</t>
  </si>
  <si>
    <t>无件数</t>
  </si>
  <si>
    <t>1）76kg 2）67.5kg</t>
  </si>
  <si>
    <t>女毛衣</t>
  </si>
  <si>
    <t>YES&amp;NO</t>
  </si>
  <si>
    <t>A 1）59.5kg-125件 2）54.5kg-125件</t>
  </si>
  <si>
    <t>MS0592</t>
  </si>
  <si>
    <t>ZILANLIYA</t>
  </si>
  <si>
    <t>ML206</t>
  </si>
  <si>
    <t>男棉服</t>
  </si>
  <si>
    <t>BLACKVINYL</t>
  </si>
  <si>
    <t>MS0664</t>
  </si>
  <si>
    <t>女小衫26.5kg</t>
  </si>
  <si>
    <t>K (MONCLER)</t>
  </si>
  <si>
    <t>女童针织帽</t>
  </si>
  <si>
    <t>袜子</t>
  </si>
  <si>
    <t>女革包</t>
  </si>
  <si>
    <t>ML12449</t>
  </si>
  <si>
    <t>男童棉套22.5kg</t>
  </si>
  <si>
    <t>DOTCHKOVA</t>
  </si>
  <si>
    <t>男童棉套</t>
  </si>
  <si>
    <t>DR</t>
  </si>
  <si>
    <t>女童棉套</t>
  </si>
  <si>
    <t>LEBO</t>
  </si>
  <si>
    <t>MT6708</t>
  </si>
  <si>
    <t>女童棉服42kg</t>
  </si>
  <si>
    <t>无</t>
  </si>
  <si>
    <t>女童小衫25.5kg</t>
  </si>
  <si>
    <t>ANGELMINO</t>
  </si>
  <si>
    <t>MS0670</t>
  </si>
  <si>
    <t>女毛衣21.5kg</t>
  </si>
  <si>
    <t>女短裙</t>
  </si>
  <si>
    <t>梦可辉</t>
  </si>
  <si>
    <t>ML0665</t>
  </si>
  <si>
    <t>女棉服18kg</t>
  </si>
  <si>
    <t>ALBINO</t>
  </si>
  <si>
    <t>MS0872</t>
  </si>
  <si>
    <t>男棉服25kg</t>
  </si>
  <si>
    <t>SINIOLE</t>
  </si>
  <si>
    <t>2015-09-22</t>
  </si>
  <si>
    <t>K (AJ)</t>
  </si>
  <si>
    <t>男仿皮上衣24kg</t>
  </si>
  <si>
    <t>K (qp）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</si>
</sst>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&quot;￥&quot;#,##0;[Red]&quot;￥&quot;#,##0"/>
    <numFmt numFmtId="177" formatCode="0;[Red]0"/>
  </numFmts>
  <fonts count="12">
    <font>
      <sz val="11"/>
      <color indexed="8"/>
      <name val="宋体"/>
      <charset val="134"/>
    </font>
    <font>
      <b/>
      <sz val="18"/>
      <color indexed="8"/>
      <name val="微软雅黑"/>
      <charset val="134"/>
    </font>
    <font>
      <b/>
      <sz val="16"/>
      <color indexed="8"/>
      <name val="宋体"/>
      <charset val="134"/>
    </font>
    <font>
      <b/>
      <sz val="16"/>
      <color indexed="8"/>
      <name val="微软雅黑"/>
      <charset val="134"/>
    </font>
    <font>
      <sz val="16"/>
      <color indexed="8"/>
      <name val="微软雅黑"/>
      <charset val="134"/>
    </font>
    <font>
      <sz val="11"/>
      <color indexed="8"/>
      <name val="微软雅黑"/>
      <charset val="134"/>
    </font>
    <font>
      <sz val="16"/>
      <color indexed="8"/>
      <name val="宋体"/>
      <charset val="134"/>
    </font>
    <font>
      <sz val="12"/>
      <color indexed="8"/>
      <name val="微软雅黑"/>
      <charset val="134"/>
    </font>
    <font>
      <sz val="14"/>
      <color indexed="8"/>
      <name val="微软雅黑"/>
      <charset val="134"/>
    </font>
    <font>
      <sz val="10"/>
      <color indexed="8"/>
      <name val="微软雅黑"/>
      <charset val="134"/>
    </font>
    <font>
      <b/>
      <sz val="12"/>
      <color indexed="8"/>
      <name val="宋体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8"/>
      </top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3" fontId="9" fillId="0" borderId="7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" fontId="9" fillId="0" borderId="9" xfId="0" applyNumberFormat="1" applyFont="1" applyBorder="1" applyAlignment="1">
      <alignment horizontal="center" vertical="center" wrapText="1"/>
    </xf>
    <xf numFmtId="3" fontId="9" fillId="0" borderId="9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176" fontId="9" fillId="0" borderId="10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3" fontId="9" fillId="0" borderId="11" xfId="0" applyNumberFormat="1" applyFont="1" applyBorder="1" applyAlignment="1">
      <alignment horizontal="center" vertical="center" wrapText="1"/>
    </xf>
    <xf numFmtId="176" fontId="9" fillId="0" borderId="11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9" fillId="0" borderId="14" xfId="0" applyNumberFormat="1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176" fontId="9" fillId="0" borderId="15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176" fontId="9" fillId="0" borderId="16" xfId="0" applyNumberFormat="1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/>
    </xf>
    <xf numFmtId="176" fontId="9" fillId="0" borderId="18" xfId="0" applyNumberFormat="1" applyFont="1" applyBorder="1" applyAlignment="1">
      <alignment horizontal="center" vertical="center" wrapText="1"/>
    </xf>
    <xf numFmtId="176" fontId="9" fillId="0" borderId="19" xfId="0" applyNumberFormat="1" applyFont="1" applyBorder="1" applyAlignment="1">
      <alignment horizontal="center" vertical="center" wrapText="1"/>
    </xf>
    <xf numFmtId="176" fontId="9" fillId="0" borderId="20" xfId="0" applyNumberFormat="1" applyFont="1" applyBorder="1" applyAlignment="1">
      <alignment horizontal="center" vertical="center" wrapText="1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34"/>
  <sheetViews>
    <sheetView tabSelected="1" workbookViewId="0">
      <selection activeCell="N4" sqref="N4:N5"/>
    </sheetView>
  </sheetViews>
  <sheetFormatPr defaultColWidth="9" defaultRowHeight="13.5"/>
  <cols>
    <col min="1" max="1" width="0.25" style="1" customWidth="1"/>
    <col min="2" max="2" width="10.875" style="1" customWidth="1"/>
    <col min="3" max="3" width="9.75" style="1" customWidth="1"/>
    <col min="4" max="4" width="11.125" style="1" customWidth="1"/>
    <col min="5" max="5" width="6.25" style="1" customWidth="1"/>
    <col min="6" max="6" width="12.625" style="1" customWidth="1"/>
    <col min="7" max="7" width="7.375" style="1" customWidth="1"/>
    <col min="8" max="8" width="8.875" style="2" customWidth="1"/>
    <col min="9" max="9" width="10" style="2" customWidth="1"/>
    <col min="10" max="10" width="10" style="1" customWidth="1"/>
    <col min="11" max="11" width="7.25" style="1" customWidth="1"/>
    <col min="12" max="12" width="6.875" style="1" customWidth="1"/>
    <col min="13" max="13" width="14.25" style="1" customWidth="1"/>
    <col min="14" max="14" width="27.625" style="1" customWidth="1"/>
    <col min="15" max="15" width="12.625" style="1"/>
    <col min="16" max="16377" width="9" style="1"/>
  </cols>
  <sheetData>
    <row r="1" ht="24.75" spans="1:14">
      <c r="A1" s="3"/>
      <c r="B1" s="3"/>
      <c r="C1" s="4"/>
      <c r="D1" s="5" t="s">
        <v>0</v>
      </c>
      <c r="E1" s="6"/>
      <c r="F1" s="6"/>
      <c r="G1" s="6"/>
      <c r="H1" s="7"/>
      <c r="I1" s="7"/>
      <c r="J1" s="6"/>
      <c r="K1" s="6"/>
      <c r="L1" s="6"/>
      <c r="M1" s="6"/>
      <c r="N1" s="39"/>
    </row>
    <row r="2" ht="33" spans="1:14">
      <c r="A2" s="8"/>
      <c r="B2" s="9" t="s">
        <v>1</v>
      </c>
      <c r="C2" s="10" t="s">
        <v>2</v>
      </c>
      <c r="D2" s="11"/>
      <c r="E2" s="12" t="s">
        <v>3</v>
      </c>
      <c r="F2" s="13"/>
      <c r="G2" s="12" t="s">
        <v>4</v>
      </c>
      <c r="H2" s="14"/>
      <c r="I2" s="14" t="s">
        <v>5</v>
      </c>
      <c r="J2" s="12"/>
      <c r="K2" s="10" t="s">
        <v>6</v>
      </c>
      <c r="L2" s="11"/>
      <c r="M2" s="10" t="s">
        <v>7</v>
      </c>
      <c r="N2" s="19" t="s">
        <v>8</v>
      </c>
    </row>
    <row r="3" ht="20.25" spans="1:14">
      <c r="A3" s="15"/>
      <c r="B3" s="16"/>
      <c r="C3" s="10" t="s">
        <v>9</v>
      </c>
      <c r="D3" s="12" t="s">
        <v>10</v>
      </c>
      <c r="E3" s="12" t="s">
        <v>11</v>
      </c>
      <c r="F3" s="17" t="s">
        <v>12</v>
      </c>
      <c r="G3" s="12" t="s">
        <v>13</v>
      </c>
      <c r="H3" s="14" t="s">
        <v>14</v>
      </c>
      <c r="I3" s="14" t="s">
        <v>15</v>
      </c>
      <c r="J3" s="40" t="s">
        <v>16</v>
      </c>
      <c r="K3" s="10" t="s">
        <v>17</v>
      </c>
      <c r="L3" s="12" t="s">
        <v>18</v>
      </c>
      <c r="M3" s="12" t="s">
        <v>19</v>
      </c>
      <c r="N3" s="12" t="s">
        <v>20</v>
      </c>
    </row>
    <row r="4" ht="17.25" spans="1:15">
      <c r="A4" s="18"/>
      <c r="B4" s="19" t="s">
        <v>21</v>
      </c>
      <c r="C4" s="20" t="s">
        <v>22</v>
      </c>
      <c r="D4" s="21" t="s">
        <v>23</v>
      </c>
      <c r="E4" s="22">
        <v>3</v>
      </c>
      <c r="F4" s="21" t="s">
        <v>24</v>
      </c>
      <c r="G4" s="23">
        <v>424</v>
      </c>
      <c r="H4" s="24">
        <v>60</v>
      </c>
      <c r="I4" s="41">
        <f>G:G*H:H</f>
        <v>25440</v>
      </c>
      <c r="J4" s="42">
        <v>4103</v>
      </c>
      <c r="K4" s="20">
        <v>195.5</v>
      </c>
      <c r="L4" s="21">
        <v>0.798</v>
      </c>
      <c r="M4" s="21" t="s">
        <v>25</v>
      </c>
      <c r="N4" s="21" t="s">
        <v>26</v>
      </c>
      <c r="O4" s="43"/>
    </row>
    <row r="5" ht="17.25" spans="1:15">
      <c r="A5" s="18"/>
      <c r="B5" s="19" t="s">
        <v>21</v>
      </c>
      <c r="C5" s="25"/>
      <c r="D5" s="26"/>
      <c r="E5" s="27"/>
      <c r="F5" s="26" t="s">
        <v>27</v>
      </c>
      <c r="G5" s="28">
        <v>12</v>
      </c>
      <c r="H5" s="29">
        <v>60</v>
      </c>
      <c r="I5" s="41">
        <f>G:G*H:H</f>
        <v>720</v>
      </c>
      <c r="J5" s="42">
        <v>116</v>
      </c>
      <c r="K5" s="25"/>
      <c r="L5" s="26"/>
      <c r="M5" s="26" t="s">
        <v>25</v>
      </c>
      <c r="N5" s="26"/>
      <c r="O5" s="43"/>
    </row>
    <row r="6" ht="17.25" spans="1:15">
      <c r="A6" s="18"/>
      <c r="B6" s="19" t="s">
        <v>21</v>
      </c>
      <c r="C6" s="25" t="s">
        <v>28</v>
      </c>
      <c r="D6" s="26" t="s">
        <v>23</v>
      </c>
      <c r="E6" s="27">
        <v>2</v>
      </c>
      <c r="F6" s="26" t="s">
        <v>29</v>
      </c>
      <c r="G6" s="28">
        <v>102</v>
      </c>
      <c r="H6" s="29">
        <v>120</v>
      </c>
      <c r="I6" s="41">
        <f>G:G*H:H</f>
        <v>12240</v>
      </c>
      <c r="J6" s="42">
        <v>1974</v>
      </c>
      <c r="K6" s="25">
        <v>107.5</v>
      </c>
      <c r="L6" s="26">
        <v>0.75</v>
      </c>
      <c r="M6" s="26" t="s">
        <v>30</v>
      </c>
      <c r="N6" s="26" t="s">
        <v>31</v>
      </c>
      <c r="O6" s="43"/>
    </row>
    <row r="7" ht="17.25" spans="1:15">
      <c r="A7" s="18"/>
      <c r="B7" s="19" t="s">
        <v>21</v>
      </c>
      <c r="C7" s="25" t="s">
        <v>32</v>
      </c>
      <c r="D7" s="26" t="s">
        <v>23</v>
      </c>
      <c r="E7" s="27">
        <v>2</v>
      </c>
      <c r="F7" s="26" t="s">
        <v>29</v>
      </c>
      <c r="G7" s="28">
        <v>30</v>
      </c>
      <c r="H7" s="29">
        <v>290</v>
      </c>
      <c r="I7" s="41">
        <f>G:G*H:H</f>
        <v>8700</v>
      </c>
      <c r="J7" s="42">
        <v>1403</v>
      </c>
      <c r="K7" s="25">
        <v>155</v>
      </c>
      <c r="L7" s="26">
        <v>0.744</v>
      </c>
      <c r="M7" s="26" t="s">
        <v>33</v>
      </c>
      <c r="N7" s="26" t="s">
        <v>34</v>
      </c>
      <c r="O7" s="43"/>
    </row>
    <row r="8" ht="17.25" spans="1:15">
      <c r="A8" s="18"/>
      <c r="B8" s="19" t="s">
        <v>21</v>
      </c>
      <c r="C8" s="25"/>
      <c r="D8" s="26"/>
      <c r="E8" s="27"/>
      <c r="F8" s="26" t="s">
        <v>29</v>
      </c>
      <c r="G8" s="28">
        <v>36</v>
      </c>
      <c r="H8" s="29">
        <v>300</v>
      </c>
      <c r="I8" s="41">
        <f>G:G*H:H</f>
        <v>10800</v>
      </c>
      <c r="J8" s="42">
        <v>1742</v>
      </c>
      <c r="K8" s="25"/>
      <c r="L8" s="26"/>
      <c r="M8" s="26" t="s">
        <v>33</v>
      </c>
      <c r="N8" s="26"/>
      <c r="O8" s="43"/>
    </row>
    <row r="9" ht="17.25" spans="1:15">
      <c r="A9" s="18"/>
      <c r="B9" s="19" t="s">
        <v>21</v>
      </c>
      <c r="C9" s="25"/>
      <c r="D9" s="26"/>
      <c r="E9" s="27"/>
      <c r="F9" s="26" t="s">
        <v>29</v>
      </c>
      <c r="G9" s="28">
        <v>42</v>
      </c>
      <c r="H9" s="29">
        <v>370</v>
      </c>
      <c r="I9" s="41">
        <f>G:G*H:H</f>
        <v>15540</v>
      </c>
      <c r="J9" s="42">
        <v>2506</v>
      </c>
      <c r="K9" s="25"/>
      <c r="L9" s="26"/>
      <c r="M9" s="26" t="s">
        <v>33</v>
      </c>
      <c r="N9" s="26"/>
      <c r="O9" s="43"/>
    </row>
    <row r="10" ht="17.25" spans="1:15">
      <c r="A10" s="18"/>
      <c r="B10" s="19" t="s">
        <v>21</v>
      </c>
      <c r="C10" s="25" t="s">
        <v>32</v>
      </c>
      <c r="D10" s="26" t="s">
        <v>23</v>
      </c>
      <c r="E10" s="27">
        <v>2</v>
      </c>
      <c r="F10" s="26" t="s">
        <v>29</v>
      </c>
      <c r="G10" s="28" t="s">
        <v>35</v>
      </c>
      <c r="H10" s="30"/>
      <c r="I10" s="44">
        <v>32300</v>
      </c>
      <c r="J10" s="45">
        <v>5210</v>
      </c>
      <c r="K10" s="25">
        <v>143.5</v>
      </c>
      <c r="L10" s="26">
        <v>0.733</v>
      </c>
      <c r="M10" s="26"/>
      <c r="N10" s="26" t="s">
        <v>36</v>
      </c>
      <c r="O10" s="43"/>
    </row>
    <row r="11" ht="17.25" spans="1:15">
      <c r="A11" s="18"/>
      <c r="B11" s="19" t="s">
        <v>21</v>
      </c>
      <c r="C11" s="25"/>
      <c r="D11" s="26"/>
      <c r="E11" s="27"/>
      <c r="F11" s="26" t="s">
        <v>29</v>
      </c>
      <c r="G11" s="28" t="s">
        <v>35</v>
      </c>
      <c r="H11" s="30"/>
      <c r="I11" s="46"/>
      <c r="J11" s="47"/>
      <c r="K11" s="25"/>
      <c r="L11" s="26"/>
      <c r="M11" s="26"/>
      <c r="N11" s="26"/>
      <c r="O11" s="43"/>
    </row>
    <row r="12" ht="33" spans="1:15">
      <c r="A12" s="18"/>
      <c r="B12" s="19" t="s">
        <v>21</v>
      </c>
      <c r="C12" s="25" t="s">
        <v>28</v>
      </c>
      <c r="D12" s="26" t="s">
        <v>23</v>
      </c>
      <c r="E12" s="27">
        <v>2</v>
      </c>
      <c r="F12" s="26" t="s">
        <v>37</v>
      </c>
      <c r="G12" s="28">
        <v>250</v>
      </c>
      <c r="H12" s="29">
        <v>80</v>
      </c>
      <c r="I12" s="41">
        <f>G:G*H:H</f>
        <v>20000</v>
      </c>
      <c r="J12" s="42">
        <v>3226</v>
      </c>
      <c r="K12" s="25">
        <v>114</v>
      </c>
      <c r="L12" s="26">
        <v>0.627</v>
      </c>
      <c r="M12" s="26" t="s">
        <v>38</v>
      </c>
      <c r="N12" s="26" t="s">
        <v>39</v>
      </c>
      <c r="O12" s="43"/>
    </row>
    <row r="13" ht="17.25" spans="1:15">
      <c r="A13" s="18"/>
      <c r="B13" s="19" t="s">
        <v>21</v>
      </c>
      <c r="C13" s="25" t="s">
        <v>40</v>
      </c>
      <c r="D13" s="26" t="s">
        <v>23</v>
      </c>
      <c r="E13" s="27">
        <v>1</v>
      </c>
      <c r="F13" s="26" t="s">
        <v>29</v>
      </c>
      <c r="G13" s="28">
        <v>12</v>
      </c>
      <c r="H13" s="30"/>
      <c r="I13" s="44">
        <v>11245</v>
      </c>
      <c r="J13" s="45">
        <v>1814</v>
      </c>
      <c r="K13" s="25">
        <v>36.5</v>
      </c>
      <c r="L13" s="26">
        <v>0.312</v>
      </c>
      <c r="M13" s="26" t="s">
        <v>41</v>
      </c>
      <c r="N13" s="26"/>
      <c r="O13" s="43"/>
    </row>
    <row r="14" ht="17.25" spans="1:15">
      <c r="A14" s="18"/>
      <c r="B14" s="19" t="s">
        <v>21</v>
      </c>
      <c r="C14" s="25"/>
      <c r="D14" s="26"/>
      <c r="E14" s="27"/>
      <c r="F14" s="26" t="s">
        <v>29</v>
      </c>
      <c r="G14" s="28">
        <v>6</v>
      </c>
      <c r="H14" s="30"/>
      <c r="I14" s="48"/>
      <c r="J14" s="49"/>
      <c r="K14" s="25"/>
      <c r="L14" s="26"/>
      <c r="M14" s="26" t="s">
        <v>41</v>
      </c>
      <c r="N14" s="26"/>
      <c r="O14" s="43"/>
    </row>
    <row r="15" ht="17.25" spans="1:15">
      <c r="A15" s="18"/>
      <c r="B15" s="19" t="s">
        <v>21</v>
      </c>
      <c r="C15" s="25"/>
      <c r="D15" s="26"/>
      <c r="E15" s="27"/>
      <c r="F15" s="26" t="s">
        <v>29</v>
      </c>
      <c r="G15" s="28">
        <v>6</v>
      </c>
      <c r="H15" s="30"/>
      <c r="I15" s="48"/>
      <c r="J15" s="49"/>
      <c r="K15" s="25"/>
      <c r="L15" s="26"/>
      <c r="M15" s="26" t="s">
        <v>41</v>
      </c>
      <c r="N15" s="26"/>
      <c r="O15" s="43"/>
    </row>
    <row r="16" ht="17.25" spans="1:15">
      <c r="A16" s="18"/>
      <c r="B16" s="19" t="s">
        <v>21</v>
      </c>
      <c r="C16" s="25"/>
      <c r="D16" s="26"/>
      <c r="E16" s="27"/>
      <c r="F16" s="26" t="s">
        <v>29</v>
      </c>
      <c r="G16" s="28">
        <v>6</v>
      </c>
      <c r="H16" s="30"/>
      <c r="I16" s="46"/>
      <c r="J16" s="47"/>
      <c r="K16" s="25"/>
      <c r="L16" s="26"/>
      <c r="M16" s="26" t="s">
        <v>41</v>
      </c>
      <c r="N16" s="26"/>
      <c r="O16" s="43"/>
    </row>
    <row r="17" ht="33" spans="1:15">
      <c r="A17" s="18"/>
      <c r="B17" s="19" t="s">
        <v>21</v>
      </c>
      <c r="C17" s="25" t="s">
        <v>42</v>
      </c>
      <c r="D17" s="26" t="s">
        <v>23</v>
      </c>
      <c r="E17" s="27">
        <v>1</v>
      </c>
      <c r="F17" s="26" t="s">
        <v>43</v>
      </c>
      <c r="G17" s="28">
        <v>20</v>
      </c>
      <c r="H17" s="29">
        <v>309</v>
      </c>
      <c r="I17" s="41">
        <f>G:G*H:H</f>
        <v>6180</v>
      </c>
      <c r="J17" s="42">
        <v>997</v>
      </c>
      <c r="K17" s="25">
        <v>74.5</v>
      </c>
      <c r="L17" s="26">
        <v>0.723</v>
      </c>
      <c r="M17" s="26" t="s">
        <v>44</v>
      </c>
      <c r="N17" s="26"/>
      <c r="O17" s="43"/>
    </row>
    <row r="18" ht="33" spans="1:15">
      <c r="A18" s="18"/>
      <c r="B18" s="19" t="s">
        <v>21</v>
      </c>
      <c r="C18" s="25"/>
      <c r="D18" s="26"/>
      <c r="E18" s="27"/>
      <c r="F18" s="26" t="s">
        <v>43</v>
      </c>
      <c r="G18" s="28">
        <v>10</v>
      </c>
      <c r="H18" s="29">
        <v>309</v>
      </c>
      <c r="I18" s="41">
        <f>G:G*H:H</f>
        <v>3090</v>
      </c>
      <c r="J18" s="42">
        <v>498</v>
      </c>
      <c r="K18" s="25"/>
      <c r="L18" s="26"/>
      <c r="M18" s="26" t="s">
        <v>44</v>
      </c>
      <c r="N18" s="26"/>
      <c r="O18" s="43"/>
    </row>
    <row r="19" ht="33" spans="1:15">
      <c r="A19" s="18"/>
      <c r="B19" s="19" t="s">
        <v>21</v>
      </c>
      <c r="C19" s="25"/>
      <c r="D19" s="26"/>
      <c r="E19" s="27"/>
      <c r="F19" s="26" t="s">
        <v>43</v>
      </c>
      <c r="G19" s="28">
        <v>10</v>
      </c>
      <c r="H19" s="29">
        <v>309</v>
      </c>
      <c r="I19" s="41">
        <f>G:G*H:H</f>
        <v>3090</v>
      </c>
      <c r="J19" s="42">
        <v>498</v>
      </c>
      <c r="K19" s="25"/>
      <c r="L19" s="26"/>
      <c r="M19" s="26" t="s">
        <v>44</v>
      </c>
      <c r="N19" s="26"/>
      <c r="O19" s="43"/>
    </row>
    <row r="20" ht="49.5" spans="1:15">
      <c r="A20" s="13"/>
      <c r="B20" s="19" t="s">
        <v>21</v>
      </c>
      <c r="C20" s="31" t="s">
        <v>45</v>
      </c>
      <c r="D20" s="32" t="s">
        <v>23</v>
      </c>
      <c r="E20" s="33">
        <v>1</v>
      </c>
      <c r="F20" s="34" t="s">
        <v>46</v>
      </c>
      <c r="G20" s="35">
        <v>20</v>
      </c>
      <c r="H20" s="36"/>
      <c r="I20" s="50">
        <v>3100</v>
      </c>
      <c r="J20" s="45">
        <v>500</v>
      </c>
      <c r="K20" s="31">
        <v>50</v>
      </c>
      <c r="L20" s="32">
        <v>0.367</v>
      </c>
      <c r="M20" s="32" t="s">
        <v>47</v>
      </c>
      <c r="N20" s="32"/>
      <c r="O20" s="43"/>
    </row>
    <row r="21" ht="49.5" spans="1:15">
      <c r="A21" s="13"/>
      <c r="B21" s="19" t="s">
        <v>21</v>
      </c>
      <c r="C21" s="31"/>
      <c r="D21" s="32"/>
      <c r="E21" s="33"/>
      <c r="F21" s="32" t="s">
        <v>48</v>
      </c>
      <c r="G21" s="37">
        <v>92</v>
      </c>
      <c r="H21" s="38"/>
      <c r="I21" s="51"/>
      <c r="J21" s="49"/>
      <c r="K21" s="31"/>
      <c r="L21" s="32"/>
      <c r="M21" s="32" t="s">
        <v>47</v>
      </c>
      <c r="N21" s="32"/>
      <c r="O21" s="43"/>
    </row>
    <row r="22" ht="49.5" spans="1:15">
      <c r="A22" s="13"/>
      <c r="B22" s="19" t="s">
        <v>21</v>
      </c>
      <c r="C22" s="31"/>
      <c r="D22" s="32"/>
      <c r="E22" s="33"/>
      <c r="F22" s="32" t="s">
        <v>49</v>
      </c>
      <c r="G22" s="35">
        <v>123</v>
      </c>
      <c r="H22" s="36"/>
      <c r="I22" s="51"/>
      <c r="J22" s="49"/>
      <c r="K22" s="31"/>
      <c r="L22" s="32"/>
      <c r="M22" s="32" t="s">
        <v>47</v>
      </c>
      <c r="N22" s="32"/>
      <c r="O22" s="43"/>
    </row>
    <row r="23" ht="49.5" spans="1:15">
      <c r="A23" s="13"/>
      <c r="B23" s="19" t="s">
        <v>21</v>
      </c>
      <c r="C23" s="31"/>
      <c r="D23" s="32"/>
      <c r="E23" s="33"/>
      <c r="F23" s="32" t="s">
        <v>50</v>
      </c>
      <c r="G23" s="35">
        <v>8</v>
      </c>
      <c r="H23" s="36"/>
      <c r="I23" s="52"/>
      <c r="J23" s="47"/>
      <c r="K23" s="31"/>
      <c r="L23" s="32"/>
      <c r="M23" s="32" t="s">
        <v>47</v>
      </c>
      <c r="N23" s="32"/>
      <c r="O23" s="43"/>
    </row>
    <row r="24" ht="33" spans="1:15">
      <c r="A24" s="13"/>
      <c r="B24" s="19" t="s">
        <v>21</v>
      </c>
      <c r="C24" s="31" t="s">
        <v>51</v>
      </c>
      <c r="D24" s="32" t="s">
        <v>23</v>
      </c>
      <c r="E24" s="33"/>
      <c r="F24" s="32" t="s">
        <v>52</v>
      </c>
      <c r="G24" s="35">
        <v>5</v>
      </c>
      <c r="H24" s="36"/>
      <c r="I24" s="50">
        <v>2450</v>
      </c>
      <c r="J24" s="45">
        <v>395</v>
      </c>
      <c r="K24" s="31"/>
      <c r="L24" s="32"/>
      <c r="M24" s="32" t="s">
        <v>53</v>
      </c>
      <c r="N24" s="32"/>
      <c r="O24" s="43"/>
    </row>
    <row r="25" ht="17.25" spans="1:15">
      <c r="A25" s="13"/>
      <c r="B25" s="19" t="s">
        <v>21</v>
      </c>
      <c r="C25" s="31"/>
      <c r="D25" s="32"/>
      <c r="E25" s="33"/>
      <c r="F25" s="32" t="s">
        <v>54</v>
      </c>
      <c r="G25" s="35">
        <v>5</v>
      </c>
      <c r="H25" s="36"/>
      <c r="I25" s="51"/>
      <c r="J25" s="49"/>
      <c r="K25" s="31"/>
      <c r="L25" s="32"/>
      <c r="M25" s="32" t="s">
        <v>55</v>
      </c>
      <c r="N25" s="32"/>
      <c r="O25" s="43"/>
    </row>
    <row r="26" ht="17.25" spans="1:15">
      <c r="A26" s="13"/>
      <c r="B26" s="19" t="s">
        <v>21</v>
      </c>
      <c r="C26" s="31"/>
      <c r="D26" s="32"/>
      <c r="E26" s="33"/>
      <c r="F26" s="32" t="s">
        <v>56</v>
      </c>
      <c r="G26" s="35">
        <v>5</v>
      </c>
      <c r="H26" s="36"/>
      <c r="I26" s="52"/>
      <c r="J26" s="47"/>
      <c r="K26" s="31"/>
      <c r="L26" s="32"/>
      <c r="M26" s="32" t="s">
        <v>57</v>
      </c>
      <c r="N26" s="32"/>
      <c r="O26" s="43"/>
    </row>
    <row r="27" ht="17.25" spans="1:15">
      <c r="A27" s="18"/>
      <c r="B27" s="19" t="s">
        <v>21</v>
      </c>
      <c r="C27" s="25" t="s">
        <v>58</v>
      </c>
      <c r="D27" s="26" t="s">
        <v>23</v>
      </c>
      <c r="E27" s="27">
        <v>1</v>
      </c>
      <c r="F27" s="26" t="s">
        <v>59</v>
      </c>
      <c r="G27" s="28">
        <v>40</v>
      </c>
      <c r="H27" s="29">
        <v>145</v>
      </c>
      <c r="I27" s="41">
        <f>G:G*H:H</f>
        <v>5800</v>
      </c>
      <c r="J27" s="42">
        <v>935</v>
      </c>
      <c r="K27" s="25">
        <v>90</v>
      </c>
      <c r="L27" s="26">
        <v>0.524</v>
      </c>
      <c r="M27" s="26" t="s">
        <v>60</v>
      </c>
      <c r="N27" s="26"/>
      <c r="O27" s="43"/>
    </row>
    <row r="28" ht="33" spans="1:15">
      <c r="A28" s="18"/>
      <c r="B28" s="19" t="s">
        <v>21</v>
      </c>
      <c r="C28" s="25" t="s">
        <v>40</v>
      </c>
      <c r="D28" s="26" t="s">
        <v>23</v>
      </c>
      <c r="E28" s="27"/>
      <c r="F28" s="26" t="s">
        <v>61</v>
      </c>
      <c r="G28" s="28">
        <v>90</v>
      </c>
      <c r="H28" s="29">
        <v>50</v>
      </c>
      <c r="I28" s="41">
        <f>G:G*H:H</f>
        <v>4500</v>
      </c>
      <c r="J28" s="42">
        <v>726</v>
      </c>
      <c r="K28" s="25"/>
      <c r="L28" s="26"/>
      <c r="M28" s="26" t="s">
        <v>62</v>
      </c>
      <c r="N28" s="26"/>
      <c r="O28" s="43"/>
    </row>
    <row r="29" ht="17.25" spans="1:15">
      <c r="A29" s="18"/>
      <c r="B29" s="19" t="s">
        <v>21</v>
      </c>
      <c r="C29" s="25" t="s">
        <v>63</v>
      </c>
      <c r="D29" s="26" t="s">
        <v>23</v>
      </c>
      <c r="E29" s="27"/>
      <c r="F29" s="26" t="s">
        <v>64</v>
      </c>
      <c r="G29" s="28">
        <v>20</v>
      </c>
      <c r="H29" s="29"/>
      <c r="I29" s="30">
        <v>1600</v>
      </c>
      <c r="J29" s="42">
        <v>258</v>
      </c>
      <c r="K29" s="25"/>
      <c r="L29" s="26"/>
      <c r="M29" s="26" t="s">
        <v>60</v>
      </c>
      <c r="N29" s="26"/>
      <c r="O29" s="43"/>
    </row>
    <row r="30" ht="17.25" spans="1:15">
      <c r="A30" s="18"/>
      <c r="B30" s="19" t="s">
        <v>21</v>
      </c>
      <c r="C30" s="25" t="s">
        <v>63</v>
      </c>
      <c r="D30" s="26" t="s">
        <v>23</v>
      </c>
      <c r="E30" s="27"/>
      <c r="F30" s="26" t="s">
        <v>65</v>
      </c>
      <c r="G30" s="28">
        <v>13</v>
      </c>
      <c r="H30" s="29">
        <v>60</v>
      </c>
      <c r="I30" s="41">
        <f>G:G*H:H</f>
        <v>780</v>
      </c>
      <c r="J30" s="42">
        <v>126</v>
      </c>
      <c r="K30" s="25"/>
      <c r="L30" s="26"/>
      <c r="M30" s="26" t="s">
        <v>66</v>
      </c>
      <c r="N30" s="26"/>
      <c r="O30" s="43"/>
    </row>
    <row r="31" ht="17.25" spans="1:15">
      <c r="A31" s="18"/>
      <c r="B31" s="19" t="s">
        <v>21</v>
      </c>
      <c r="C31" s="25" t="s">
        <v>67</v>
      </c>
      <c r="D31" s="26" t="s">
        <v>23</v>
      </c>
      <c r="E31" s="27">
        <v>1</v>
      </c>
      <c r="F31" s="26" t="s">
        <v>68</v>
      </c>
      <c r="G31" s="28">
        <v>10</v>
      </c>
      <c r="H31" s="29">
        <v>932</v>
      </c>
      <c r="I31" s="41">
        <f>G:G*H:H</f>
        <v>9320</v>
      </c>
      <c r="J31" s="42">
        <v>1503</v>
      </c>
      <c r="K31" s="25">
        <v>67.5</v>
      </c>
      <c r="L31" s="26">
        <v>0.396</v>
      </c>
      <c r="M31" s="26" t="s">
        <v>69</v>
      </c>
      <c r="N31" s="26"/>
      <c r="O31" s="43"/>
    </row>
    <row r="32" ht="17.25" spans="1:15">
      <c r="A32" s="18"/>
      <c r="B32" s="19" t="s">
        <v>21</v>
      </c>
      <c r="C32" s="25" t="s">
        <v>70</v>
      </c>
      <c r="D32" s="26" t="s">
        <v>23</v>
      </c>
      <c r="E32" s="27"/>
      <c r="F32" s="26" t="s">
        <v>71</v>
      </c>
      <c r="G32" s="28">
        <v>6</v>
      </c>
      <c r="H32" s="29">
        <v>220</v>
      </c>
      <c r="I32" s="41">
        <f>G:G*H:H</f>
        <v>1320</v>
      </c>
      <c r="J32" s="42">
        <v>213</v>
      </c>
      <c r="K32" s="25"/>
      <c r="L32" s="26"/>
      <c r="M32" s="26" t="s">
        <v>72</v>
      </c>
      <c r="N32" s="26"/>
      <c r="O32" s="43"/>
    </row>
    <row r="33" ht="17.25" spans="1:15">
      <c r="A33" s="18"/>
      <c r="B33" s="19" t="s">
        <v>21</v>
      </c>
      <c r="C33" s="25" t="s">
        <v>70</v>
      </c>
      <c r="D33" s="26" t="s">
        <v>73</v>
      </c>
      <c r="E33" s="27"/>
      <c r="F33" s="26" t="s">
        <v>24</v>
      </c>
      <c r="G33" s="28">
        <v>41</v>
      </c>
      <c r="H33" s="29">
        <v>90</v>
      </c>
      <c r="I33" s="41">
        <f>G:G*H:H</f>
        <v>3690</v>
      </c>
      <c r="J33" s="42">
        <v>595</v>
      </c>
      <c r="K33" s="25"/>
      <c r="L33" s="26"/>
      <c r="M33" s="26" t="s">
        <v>74</v>
      </c>
      <c r="N33" s="26"/>
      <c r="O33" s="43"/>
    </row>
    <row r="34" ht="17.25" spans="1:15">
      <c r="A34" s="18"/>
      <c r="B34" s="19" t="s">
        <v>21</v>
      </c>
      <c r="C34" s="25" t="s">
        <v>22</v>
      </c>
      <c r="D34" s="26" t="s">
        <v>23</v>
      </c>
      <c r="E34" s="27"/>
      <c r="F34" s="26" t="s">
        <v>75</v>
      </c>
      <c r="G34" s="28">
        <v>25</v>
      </c>
      <c r="H34" s="29">
        <v>160</v>
      </c>
      <c r="I34" s="41">
        <f>G:G*H:H</f>
        <v>4000</v>
      </c>
      <c r="J34" s="42">
        <v>645</v>
      </c>
      <c r="K34" s="25"/>
      <c r="L34" s="26"/>
      <c r="M34" s="26" t="s">
        <v>76</v>
      </c>
      <c r="N34" s="26"/>
      <c r="O34" s="43"/>
    </row>
  </sheetData>
  <mergeCells count="60">
    <mergeCell ref="D1:N1"/>
    <mergeCell ref="C2:D2"/>
    <mergeCell ref="E2:F2"/>
    <mergeCell ref="G2:H2"/>
    <mergeCell ref="I2:J2"/>
    <mergeCell ref="K2:L2"/>
    <mergeCell ref="C4:C5"/>
    <mergeCell ref="C7:C9"/>
    <mergeCell ref="C10:C11"/>
    <mergeCell ref="C13:C16"/>
    <mergeCell ref="C17:C19"/>
    <mergeCell ref="C20:C23"/>
    <mergeCell ref="C24:C26"/>
    <mergeCell ref="D4:D5"/>
    <mergeCell ref="D7:D9"/>
    <mergeCell ref="D10:D11"/>
    <mergeCell ref="D13:D16"/>
    <mergeCell ref="D17:D19"/>
    <mergeCell ref="D20:D23"/>
    <mergeCell ref="D24:D26"/>
    <mergeCell ref="E4:E5"/>
    <mergeCell ref="E7:E9"/>
    <mergeCell ref="E10:E11"/>
    <mergeCell ref="E13:E16"/>
    <mergeCell ref="E17:E19"/>
    <mergeCell ref="E20:E26"/>
    <mergeCell ref="E27:E30"/>
    <mergeCell ref="E31:E34"/>
    <mergeCell ref="I10:I11"/>
    <mergeCell ref="I13:I16"/>
    <mergeCell ref="I20:I23"/>
    <mergeCell ref="I24:I26"/>
    <mergeCell ref="J10:J11"/>
    <mergeCell ref="J13:J16"/>
    <mergeCell ref="J20:J23"/>
    <mergeCell ref="J24:J26"/>
    <mergeCell ref="K4:K5"/>
    <mergeCell ref="K7:K9"/>
    <mergeCell ref="K10:K11"/>
    <mergeCell ref="K13:K16"/>
    <mergeCell ref="K17:K19"/>
    <mergeCell ref="K20:K26"/>
    <mergeCell ref="K27:K30"/>
    <mergeCell ref="K31:K34"/>
    <mergeCell ref="L4:L5"/>
    <mergeCell ref="L7:L9"/>
    <mergeCell ref="L10:L11"/>
    <mergeCell ref="L13:L16"/>
    <mergeCell ref="L17:L19"/>
    <mergeCell ref="L20:L26"/>
    <mergeCell ref="L27:L30"/>
    <mergeCell ref="L31:L34"/>
    <mergeCell ref="N4:N5"/>
    <mergeCell ref="N7:N9"/>
    <mergeCell ref="N10:N11"/>
    <mergeCell ref="N13:N16"/>
    <mergeCell ref="N17:N19"/>
    <mergeCell ref="N20:N26"/>
    <mergeCell ref="N27:N30"/>
    <mergeCell ref="N31:N34"/>
  </mergeCells>
  <printOptions verticalCentered="1"/>
  <pageMargins left="0.118055555555556" right="0.118055555555556" top="0.118055555555556" bottom="0.118055555555556" header="0.3" footer="0.3"/>
  <pageSetup paperSize="9" scale="8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京258库飞机-第145单-2015-10-05-16包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cp:lastModifiedBy>username</cp:lastModifiedBy>
  <dcterms:created xsi:type="dcterms:W3CDTF">2011-12-31T06:39:00Z</dcterms:created>
  <dcterms:modified xsi:type="dcterms:W3CDTF">2015-10-05T15:32:08Z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2052-9.1.0.5218</vt:lpwstr>
  </property>
</Properties>
</file>