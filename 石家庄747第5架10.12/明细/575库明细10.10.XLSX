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23655" windowHeight="9240"/>
  </bookViews>
  <sheets>
    <sheet name="京258库飞机-第150单-2015-10-10-32包" sheetId="1" r:id="rId1"/>
  </sheets>
  <calcPr calcId="124519"/>
</workbook>
</file>

<file path=xl/calcChain.xml><?xml version="1.0" encoding="utf-8"?>
<calcChain xmlns="http://schemas.openxmlformats.org/spreadsheetml/2006/main">
  <c r="H55" i="1"/>
  <c r="H54"/>
  <c r="H53"/>
  <c r="H52"/>
  <c r="H51"/>
  <c r="H50"/>
  <c r="H49"/>
  <c r="H48"/>
  <c r="H47"/>
  <c r="H46"/>
  <c r="H45"/>
  <c r="H44"/>
  <c r="H43"/>
  <c r="H42"/>
  <c r="H41"/>
  <c r="H39"/>
  <c r="H38"/>
  <c r="H27"/>
  <c r="H26"/>
  <c r="H25"/>
  <c r="H24"/>
  <c r="H23"/>
  <c r="H21"/>
  <c r="H20"/>
  <c r="H19"/>
  <c r="H18"/>
  <c r="H17"/>
  <c r="H16"/>
  <c r="H13"/>
  <c r="H12"/>
  <c r="H11"/>
  <c r="H10"/>
  <c r="H9"/>
  <c r="H8"/>
  <c r="H7"/>
  <c r="H6"/>
  <c r="H5"/>
  <c r="H4"/>
</calcChain>
</file>

<file path=xl/sharedStrings.xml><?xml version="1.0" encoding="utf-8"?>
<sst xmlns="http://schemas.openxmlformats.org/spreadsheetml/2006/main" count="254" uniqueCount="196">
  <si>
    <t>京258库飞机-第150单-2015-10-10-32包</t>
  </si>
  <si>
    <t>出库单位：258库飞机</t>
  </si>
  <si>
    <t>日期：2015-10-10</t>
  </si>
  <si>
    <t>总包数：32</t>
  </si>
  <si>
    <t>总数量：1802</t>
  </si>
  <si>
    <t>总体积：12.137</t>
  </si>
  <si>
    <t>货主</t>
  </si>
  <si>
    <t>入库日期</t>
  </si>
  <si>
    <t>包数</t>
  </si>
  <si>
    <t>品名</t>
  </si>
  <si>
    <t>件数</t>
  </si>
  <si>
    <t>单价</t>
  </si>
  <si>
    <t>总货值</t>
  </si>
  <si>
    <t>公斤数</t>
  </si>
  <si>
    <t>立方数</t>
  </si>
  <si>
    <t>品牌</t>
  </si>
  <si>
    <t>备注</t>
  </si>
  <si>
    <t>GMS6818</t>
  </si>
  <si>
    <t>2015-10-08</t>
  </si>
  <si>
    <t>棉服</t>
  </si>
  <si>
    <t>K</t>
  </si>
  <si>
    <t>GMT0369</t>
  </si>
  <si>
    <t>2015-10-08</t>
  </si>
  <si>
    <t>杂服</t>
  </si>
  <si>
    <t>K</t>
  </si>
  <si>
    <t>1）74kg  2）91kg</t>
  </si>
  <si>
    <t>GMS0500</t>
  </si>
  <si>
    <t>2015-10-08</t>
  </si>
  <si>
    <t>杂服</t>
  </si>
  <si>
    <t>K</t>
  </si>
  <si>
    <t>1）91.2kg  2）72.6kg</t>
  </si>
  <si>
    <t>GMS11017</t>
  </si>
  <si>
    <t>2015-10-08</t>
  </si>
  <si>
    <t>K</t>
  </si>
  <si>
    <t>GMT0450</t>
  </si>
  <si>
    <t>2015-10-08</t>
  </si>
  <si>
    <t>杂服</t>
  </si>
  <si>
    <t>K</t>
  </si>
  <si>
    <t>GMS7035</t>
  </si>
  <si>
    <t>2015-10-08</t>
  </si>
  <si>
    <t>男运动上衣</t>
  </si>
  <si>
    <t>K</t>
  </si>
  <si>
    <t>1）49kg  2）56.6kg</t>
  </si>
  <si>
    <t>GML0652</t>
  </si>
  <si>
    <t>2015-10-08</t>
  </si>
  <si>
    <t>男棉服</t>
  </si>
  <si>
    <t>K</t>
  </si>
  <si>
    <t>GML6906</t>
  </si>
  <si>
    <t>2015-10-08</t>
  </si>
  <si>
    <t>杂服44.6kg</t>
  </si>
  <si>
    <t>K</t>
  </si>
  <si>
    <t>MS12273</t>
  </si>
  <si>
    <t>2015-10-10</t>
  </si>
  <si>
    <t>女羽绒服33.4kg</t>
  </si>
  <si>
    <t>女棉服</t>
  </si>
  <si>
    <t>GML12644</t>
  </si>
  <si>
    <t>2015-10-08</t>
  </si>
  <si>
    <t>童装23</t>
  </si>
  <si>
    <t>K</t>
  </si>
  <si>
    <t>GMS11094</t>
  </si>
  <si>
    <t>2015-10-08</t>
  </si>
  <si>
    <t>棉服</t>
  </si>
  <si>
    <t>K</t>
  </si>
  <si>
    <t>1）71.2kg 2）71.6kg 3）73.2kg 4）63.6kg</t>
  </si>
  <si>
    <t>ML12337</t>
  </si>
  <si>
    <t>2015-10-10</t>
  </si>
  <si>
    <t>女棉服</t>
  </si>
  <si>
    <t>女棉服</t>
  </si>
  <si>
    <t>MT0210</t>
  </si>
  <si>
    <t>2015-10-10</t>
  </si>
  <si>
    <t>女童棉服</t>
  </si>
  <si>
    <t>K</t>
  </si>
  <si>
    <t>童装</t>
  </si>
  <si>
    <t>K</t>
  </si>
  <si>
    <t>MT12619</t>
  </si>
  <si>
    <t>2015-10-10</t>
  </si>
  <si>
    <t>女童棉服</t>
  </si>
  <si>
    <t>K</t>
  </si>
  <si>
    <t>1）70.5kg-70件 2）72kg-82件</t>
  </si>
  <si>
    <t>童套装</t>
  </si>
  <si>
    <t>K</t>
  </si>
  <si>
    <t>童革鞋</t>
  </si>
  <si>
    <t>K  NIKE</t>
  </si>
  <si>
    <t>1）51kg-109件 2）86kg-114件</t>
  </si>
  <si>
    <t>童革鞋</t>
  </si>
  <si>
    <t>K  NIKE</t>
  </si>
  <si>
    <t>ML0235</t>
  </si>
  <si>
    <t>2015-10-10</t>
  </si>
  <si>
    <t>男童革鞋</t>
  </si>
  <si>
    <t>K</t>
  </si>
  <si>
    <t>女童革鞋</t>
  </si>
  <si>
    <t>K</t>
  </si>
  <si>
    <t>女童革鞋</t>
  </si>
  <si>
    <t>K</t>
  </si>
  <si>
    <t>女童革鞋</t>
  </si>
  <si>
    <t>K</t>
  </si>
  <si>
    <t>女童革鞋</t>
  </si>
  <si>
    <t>K</t>
  </si>
  <si>
    <t>MS0152</t>
  </si>
  <si>
    <t>2015-10-10</t>
  </si>
  <si>
    <t>女革鞋</t>
  </si>
  <si>
    <t>SUMMERGIRL</t>
  </si>
  <si>
    <t>1）58kg-40件 2）53kg-40件</t>
  </si>
  <si>
    <t>女革鞋</t>
  </si>
  <si>
    <t>SUMMERGIRL</t>
  </si>
  <si>
    <t>女革鞋</t>
  </si>
  <si>
    <t>SUMMERGIRL</t>
  </si>
  <si>
    <t>女革鞋</t>
  </si>
  <si>
    <t>SUMMERGIRL</t>
  </si>
  <si>
    <t>女革鞋</t>
  </si>
  <si>
    <t>SUMMERGIRL</t>
  </si>
  <si>
    <t>女革鞋</t>
  </si>
  <si>
    <t>SUMMERGIRL</t>
  </si>
  <si>
    <t>ML12258</t>
  </si>
  <si>
    <t>2015-10-10</t>
  </si>
  <si>
    <t>女小衫</t>
  </si>
  <si>
    <t>BOYIHAI</t>
  </si>
  <si>
    <t>女上衣</t>
  </si>
  <si>
    <t>金琦角</t>
  </si>
  <si>
    <t>女上衣</t>
  </si>
  <si>
    <t>杂</t>
  </si>
  <si>
    <t>女小衫</t>
  </si>
  <si>
    <t>BOYIHAI</t>
  </si>
  <si>
    <t>MS12466</t>
  </si>
  <si>
    <t>2015-10-10</t>
  </si>
  <si>
    <t>女棉服</t>
  </si>
  <si>
    <t>1）60.5kg 2）62.5kg</t>
  </si>
  <si>
    <t>女棉服</t>
  </si>
  <si>
    <t>女棉服</t>
  </si>
  <si>
    <t>SNOWIMAGE</t>
  </si>
  <si>
    <t>1）36kg-20件 2）58.5kg-39件</t>
  </si>
  <si>
    <t>ML6554</t>
  </si>
  <si>
    <t>2015-10-10</t>
  </si>
  <si>
    <t>女棉服</t>
  </si>
  <si>
    <t>女棉服</t>
  </si>
  <si>
    <t>MS12390</t>
  </si>
  <si>
    <t>2015-10-10</t>
  </si>
  <si>
    <t>女皮靴15kg</t>
  </si>
  <si>
    <t>MELANES</t>
  </si>
  <si>
    <t>MS12390</t>
  </si>
  <si>
    <t>2015-10-08</t>
  </si>
  <si>
    <t>女皮靴16kg</t>
  </si>
  <si>
    <t>AIDIIVI</t>
  </si>
  <si>
    <t>GMS11015</t>
  </si>
  <si>
    <t>2015-10-08</t>
  </si>
  <si>
    <t>鞋16.2kg</t>
  </si>
  <si>
    <t>K</t>
  </si>
  <si>
    <t>GMS0759</t>
  </si>
  <si>
    <t>2015-10-07</t>
  </si>
  <si>
    <t>鞋9.2kg</t>
  </si>
  <si>
    <t>K</t>
  </si>
  <si>
    <t>MS12466</t>
  </si>
  <si>
    <t>2015-10-10</t>
  </si>
  <si>
    <t>女棉服41.5kg</t>
  </si>
  <si>
    <t>HANNANLIUNI</t>
  </si>
  <si>
    <t>MS0084</t>
  </si>
  <si>
    <t>2015-10-10</t>
  </si>
  <si>
    <t>女棉服31.5kg</t>
  </si>
  <si>
    <t>SALLO</t>
  </si>
  <si>
    <t>ML6376</t>
  </si>
  <si>
    <t>2015-10-10</t>
  </si>
  <si>
    <t>男棉服22.5kg</t>
  </si>
  <si>
    <t>CITYLKASS</t>
  </si>
  <si>
    <t>ML0911</t>
  </si>
  <si>
    <t>2015-10-10</t>
  </si>
  <si>
    <t>女毛衣22kg</t>
  </si>
  <si>
    <t>CAVALLI</t>
  </si>
  <si>
    <t>MS6818</t>
  </si>
  <si>
    <t>2015-10-09</t>
  </si>
  <si>
    <t>男棉服14kg</t>
  </si>
  <si>
    <t>K (CK)</t>
  </si>
  <si>
    <t>MS12665</t>
  </si>
  <si>
    <t>2015-10-10</t>
  </si>
  <si>
    <t>女棉服31.5kg</t>
  </si>
  <si>
    <t>MEAJIATEER</t>
  </si>
  <si>
    <t>MS0507</t>
  </si>
  <si>
    <t>2015-10-10</t>
  </si>
  <si>
    <t>男童棉套18.5kg</t>
  </si>
  <si>
    <t>BILEMI</t>
  </si>
  <si>
    <t>MS0545</t>
  </si>
  <si>
    <t>2015-10-10</t>
  </si>
  <si>
    <t>女棉服6.5kg</t>
  </si>
  <si>
    <t>SULLILE</t>
  </si>
  <si>
    <t>MS0670</t>
  </si>
  <si>
    <t>2015-10-10</t>
  </si>
  <si>
    <t>成人服装5.5kg</t>
  </si>
  <si>
    <t>ZM-5588</t>
  </si>
  <si>
    <t>ML0957</t>
  </si>
  <si>
    <t>2015-10-09</t>
  </si>
  <si>
    <t>K MARCJACOBS</t>
  </si>
  <si>
    <t>无件数</t>
    <phoneticPr fontId="1" type="noConversion"/>
  </si>
  <si>
    <t>女包23.5kg</t>
    <phoneticPr fontId="1" type="noConversion"/>
  </si>
  <si>
    <t>总货值$</t>
    <phoneticPr fontId="1" type="noConversion"/>
  </si>
  <si>
    <t>373471元=60238$</t>
    <phoneticPr fontId="1" type="noConversion"/>
  </si>
  <si>
    <t>城市</t>
    <phoneticPr fontId="1" type="noConversion"/>
  </si>
  <si>
    <t>莫斯科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</si>
</sst>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&quot;￥&quot;#,##0;[Red]&quot;￥&quot;#,##0"/>
  </numFmts>
  <fonts count="10">
    <font>
      <sz val="11"/>
      <color theme="1"/>
      <name val="宋体"/>
      <family val="2"/>
      <charset val="134"/>
      <scheme val="minor"/>
    </font>
    <font>
      <b/>
      <sz val="18"/>
      <color rgb="FF000000"/>
      <name val="微软雅黑"/>
      <charset val="134"/>
    </font>
    <font>
      <b/>
      <sz val="16"/>
      <color rgb="FF000000"/>
      <name val="微软雅黑"/>
      <charset val="134"/>
    </font>
    <font>
      <sz val="16"/>
      <color rgb="FF000000"/>
      <name val="微软雅黑"/>
      <charset val="134"/>
    </font>
    <font>
      <sz val="11"/>
      <color rgb="FF000000"/>
      <name val="微软雅黑"/>
      <charset val="134"/>
    </font>
    <font>
      <sz val="16"/>
      <color rgb="FF000000"/>
      <name val="宋体"/>
      <charset val="134"/>
    </font>
    <font>
      <sz val="12"/>
      <color rgb="FF000000"/>
      <name val="微软雅黑"/>
      <charset val="134"/>
    </font>
    <font>
      <sz val="14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3" fontId="8" fillId="0" borderId="5" xfId="0" applyNumberFormat="1" applyFont="1" applyBorder="1" applyAlignment="1">
      <alignment horizontal="center" vertical="center" wrapText="1"/>
    </xf>
    <xf numFmtId="3" fontId="8" fillId="0" borderId="6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176" fontId="8" fillId="0" borderId="5" xfId="0" applyNumberFormat="1" applyFont="1" applyBorder="1" applyAlignment="1">
      <alignment horizontal="center" vertical="center" wrapText="1"/>
    </xf>
    <xf numFmtId="176" fontId="8" fillId="0" borderId="6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4888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1"/>
  <sheetViews>
    <sheetView tabSelected="1" workbookViewId="0">
      <selection activeCell="M37" sqref="M37:M40"/>
    </sheetView>
  </sheetViews>
  <sheetFormatPr defaultRowHeight="13.5"/>
  <cols>
    <col min="1" max="1" width="10" customWidth="1"/>
    <col min="2" max="2" width="9.75" customWidth="1"/>
    <col min="3" max="3" width="11.125" customWidth="1"/>
    <col min="4" max="4" width="6.25" customWidth="1"/>
    <col min="5" max="5" width="12.5" customWidth="1"/>
    <col min="6" max="6" width="8.375" customWidth="1"/>
    <col min="7" max="7" width="8.875" customWidth="1"/>
    <col min="8" max="9" width="10" customWidth="1"/>
    <col min="10" max="10" width="7.25" customWidth="1"/>
    <col min="11" max="11" width="6.875" customWidth="1"/>
    <col min="12" max="12" width="9.5" customWidth="1"/>
    <col min="13" max="13" width="27.625" customWidth="1"/>
  </cols>
  <sheetData>
    <row r="1" spans="1:13" ht="26.25" customHeight="1">
      <c r="A1" s="1"/>
      <c r="B1" s="13" t="s">
        <v>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26.25" customHeight="1">
      <c r="A2" s="2"/>
      <c r="B2" s="25" t="s">
        <v>1</v>
      </c>
      <c r="C2" s="27"/>
      <c r="D2" s="25" t="s">
        <v>2</v>
      </c>
      <c r="E2" s="26"/>
      <c r="F2" s="25" t="s">
        <v>3</v>
      </c>
      <c r="G2" s="27"/>
      <c r="H2" s="24" t="s">
        <v>193</v>
      </c>
      <c r="I2" s="16"/>
      <c r="J2" s="14" t="s">
        <v>4</v>
      </c>
      <c r="K2" s="15"/>
      <c r="L2" s="16"/>
      <c r="M2" s="6" t="s">
        <v>5</v>
      </c>
    </row>
    <row r="3" spans="1:13" ht="25.5" customHeight="1">
      <c r="A3" s="3" t="s">
        <v>194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192</v>
      </c>
      <c r="J3" s="5" t="s">
        <v>13</v>
      </c>
      <c r="K3" s="5" t="s">
        <v>14</v>
      </c>
      <c r="L3" s="5" t="s">
        <v>15</v>
      </c>
      <c r="M3" s="5" t="s">
        <v>16</v>
      </c>
    </row>
    <row r="4" spans="1:13" ht="24" customHeight="1">
      <c r="A4" s="4" t="s">
        <v>195</v>
      </c>
      <c r="B4" s="12" t="s">
        <v>64</v>
      </c>
      <c r="C4" s="12" t="s">
        <v>65</v>
      </c>
      <c r="D4" s="11">
        <v>1</v>
      </c>
      <c r="E4" s="7" t="s">
        <v>66</v>
      </c>
      <c r="F4" s="9">
        <v>35</v>
      </c>
      <c r="G4" s="10">
        <v>245</v>
      </c>
      <c r="H4" s="10">
        <f>F4*G4</f>
        <v>8575</v>
      </c>
      <c r="I4" s="7">
        <v>1383</v>
      </c>
      <c r="J4" s="12">
        <v>69.599999999999994</v>
      </c>
      <c r="K4" s="12">
        <v>0.35</v>
      </c>
      <c r="L4" s="7"/>
      <c r="M4" s="12"/>
    </row>
    <row r="5" spans="1:13" ht="24" customHeight="1">
      <c r="A5" s="4" t="s">
        <v>195</v>
      </c>
      <c r="B5" s="12"/>
      <c r="C5" s="12"/>
      <c r="D5" s="11"/>
      <c r="E5" s="7" t="s">
        <v>67</v>
      </c>
      <c r="F5" s="9">
        <v>20</v>
      </c>
      <c r="G5" s="10">
        <v>360</v>
      </c>
      <c r="H5" s="10">
        <f t="shared" ref="H5:H13" si="0">F5*G5</f>
        <v>7200</v>
      </c>
      <c r="I5" s="7">
        <v>1161</v>
      </c>
      <c r="J5" s="12"/>
      <c r="K5" s="12"/>
      <c r="L5" s="7"/>
      <c r="M5" s="12"/>
    </row>
    <row r="6" spans="1:13" ht="24" customHeight="1">
      <c r="A6" s="4" t="s">
        <v>195</v>
      </c>
      <c r="B6" s="12" t="s">
        <v>68</v>
      </c>
      <c r="C6" s="12" t="s">
        <v>69</v>
      </c>
      <c r="D6" s="11">
        <v>1</v>
      </c>
      <c r="E6" s="7" t="s">
        <v>70</v>
      </c>
      <c r="F6" s="9">
        <v>54</v>
      </c>
      <c r="G6" s="10">
        <v>100</v>
      </c>
      <c r="H6" s="10">
        <f t="shared" si="0"/>
        <v>5400</v>
      </c>
      <c r="I6" s="7">
        <v>871</v>
      </c>
      <c r="J6" s="12">
        <v>56.5</v>
      </c>
      <c r="K6" s="12">
        <v>0.36799999999999999</v>
      </c>
      <c r="L6" s="7" t="s">
        <v>71</v>
      </c>
      <c r="M6" s="12"/>
    </row>
    <row r="7" spans="1:13" ht="24" customHeight="1">
      <c r="A7" s="4" t="s">
        <v>195</v>
      </c>
      <c r="B7" s="12"/>
      <c r="C7" s="12"/>
      <c r="D7" s="11"/>
      <c r="E7" s="7" t="s">
        <v>72</v>
      </c>
      <c r="F7" s="9">
        <v>61</v>
      </c>
      <c r="G7" s="10">
        <v>50</v>
      </c>
      <c r="H7" s="10">
        <f t="shared" si="0"/>
        <v>3050</v>
      </c>
      <c r="I7" s="7">
        <v>492</v>
      </c>
      <c r="J7" s="12"/>
      <c r="K7" s="12"/>
      <c r="L7" s="7" t="s">
        <v>73</v>
      </c>
      <c r="M7" s="12"/>
    </row>
    <row r="8" spans="1:13" ht="24" customHeight="1">
      <c r="A8" s="4" t="s">
        <v>195</v>
      </c>
      <c r="B8" s="12" t="s">
        <v>74</v>
      </c>
      <c r="C8" s="12" t="s">
        <v>75</v>
      </c>
      <c r="D8" s="11">
        <v>2</v>
      </c>
      <c r="E8" s="7" t="s">
        <v>76</v>
      </c>
      <c r="F8" s="9">
        <v>134</v>
      </c>
      <c r="G8" s="10">
        <v>150</v>
      </c>
      <c r="H8" s="10">
        <f t="shared" si="0"/>
        <v>20100</v>
      </c>
      <c r="I8" s="7">
        <v>3242</v>
      </c>
      <c r="J8" s="12">
        <v>142.5</v>
      </c>
      <c r="K8" s="12">
        <v>0.87</v>
      </c>
      <c r="L8" s="7" t="s">
        <v>77</v>
      </c>
      <c r="M8" s="12" t="s">
        <v>78</v>
      </c>
    </row>
    <row r="9" spans="1:13" ht="24" customHeight="1">
      <c r="A9" s="4" t="s">
        <v>195</v>
      </c>
      <c r="B9" s="12"/>
      <c r="C9" s="12"/>
      <c r="D9" s="11"/>
      <c r="E9" s="7" t="s">
        <v>79</v>
      </c>
      <c r="F9" s="9">
        <v>18</v>
      </c>
      <c r="G9" s="10">
        <v>70</v>
      </c>
      <c r="H9" s="10">
        <f t="shared" si="0"/>
        <v>1260</v>
      </c>
      <c r="I9" s="7">
        <v>203</v>
      </c>
      <c r="J9" s="12"/>
      <c r="K9" s="12"/>
      <c r="L9" s="7" t="s">
        <v>80</v>
      </c>
      <c r="M9" s="12"/>
    </row>
    <row r="10" spans="1:13" ht="24" customHeight="1">
      <c r="A10" s="4" t="s">
        <v>195</v>
      </c>
      <c r="B10" s="19" t="s">
        <v>113</v>
      </c>
      <c r="C10" s="19" t="s">
        <v>114</v>
      </c>
      <c r="D10" s="11">
        <v>1</v>
      </c>
      <c r="E10" s="7" t="s">
        <v>115</v>
      </c>
      <c r="F10" s="9">
        <v>54</v>
      </c>
      <c r="G10" s="10">
        <v>120</v>
      </c>
      <c r="H10" s="10">
        <f t="shared" si="0"/>
        <v>6480</v>
      </c>
      <c r="I10" s="7">
        <v>1045</v>
      </c>
      <c r="J10" s="12">
        <v>105.5</v>
      </c>
      <c r="K10" s="12">
        <v>0.38</v>
      </c>
      <c r="L10" s="7" t="s">
        <v>116</v>
      </c>
      <c r="M10" s="12"/>
    </row>
    <row r="11" spans="1:13" ht="24" customHeight="1">
      <c r="A11" s="4" t="s">
        <v>195</v>
      </c>
      <c r="B11" s="21"/>
      <c r="C11" s="21"/>
      <c r="D11" s="11"/>
      <c r="E11" s="7" t="s">
        <v>117</v>
      </c>
      <c r="F11" s="9">
        <v>54</v>
      </c>
      <c r="G11" s="10">
        <v>139</v>
      </c>
      <c r="H11" s="10">
        <f t="shared" si="0"/>
        <v>7506</v>
      </c>
      <c r="I11" s="7">
        <v>1211</v>
      </c>
      <c r="J11" s="12"/>
      <c r="K11" s="12"/>
      <c r="L11" s="7" t="s">
        <v>118</v>
      </c>
      <c r="M11" s="12"/>
    </row>
    <row r="12" spans="1:13" ht="24" customHeight="1">
      <c r="A12" s="4" t="s">
        <v>195</v>
      </c>
      <c r="B12" s="21"/>
      <c r="C12" s="21"/>
      <c r="D12" s="11"/>
      <c r="E12" s="7" t="s">
        <v>119</v>
      </c>
      <c r="F12" s="9">
        <v>41</v>
      </c>
      <c r="G12" s="10">
        <v>139</v>
      </c>
      <c r="H12" s="10">
        <f t="shared" si="0"/>
        <v>5699</v>
      </c>
      <c r="I12" s="7">
        <v>919</v>
      </c>
      <c r="J12" s="12"/>
      <c r="K12" s="12"/>
      <c r="L12" s="7" t="s">
        <v>120</v>
      </c>
      <c r="M12" s="12"/>
    </row>
    <row r="13" spans="1:13" ht="24" customHeight="1">
      <c r="A13" s="4" t="s">
        <v>195</v>
      </c>
      <c r="B13" s="20"/>
      <c r="C13" s="20"/>
      <c r="D13" s="11"/>
      <c r="E13" s="7" t="s">
        <v>121</v>
      </c>
      <c r="F13" s="9">
        <v>44</v>
      </c>
      <c r="G13" s="10">
        <v>120</v>
      </c>
      <c r="H13" s="10">
        <f t="shared" si="0"/>
        <v>5280</v>
      </c>
      <c r="I13" s="7">
        <v>852</v>
      </c>
      <c r="J13" s="12"/>
      <c r="K13" s="12"/>
      <c r="L13" s="7" t="s">
        <v>122</v>
      </c>
      <c r="M13" s="12"/>
    </row>
    <row r="14" spans="1:13" ht="24" customHeight="1">
      <c r="A14" s="4" t="s">
        <v>195</v>
      </c>
      <c r="B14" s="12" t="s">
        <v>123</v>
      </c>
      <c r="C14" s="12" t="s">
        <v>124</v>
      </c>
      <c r="D14" s="11">
        <v>2</v>
      </c>
      <c r="E14" s="7" t="s">
        <v>125</v>
      </c>
      <c r="F14" s="17" t="s">
        <v>190</v>
      </c>
      <c r="G14" s="10"/>
      <c r="H14" s="22">
        <v>25000</v>
      </c>
      <c r="I14" s="19">
        <v>4032</v>
      </c>
      <c r="J14" s="12">
        <v>123</v>
      </c>
      <c r="K14" s="12">
        <v>0.67300000000000004</v>
      </c>
      <c r="L14" s="7"/>
      <c r="M14" s="12" t="s">
        <v>126</v>
      </c>
    </row>
    <row r="15" spans="1:13" ht="24" customHeight="1">
      <c r="A15" s="4" t="s">
        <v>195</v>
      </c>
      <c r="B15" s="12"/>
      <c r="C15" s="12"/>
      <c r="D15" s="11"/>
      <c r="E15" s="7" t="s">
        <v>127</v>
      </c>
      <c r="F15" s="18"/>
      <c r="G15" s="10"/>
      <c r="H15" s="23"/>
      <c r="I15" s="20"/>
      <c r="J15" s="12"/>
      <c r="K15" s="12"/>
      <c r="L15" s="7"/>
      <c r="M15" s="12"/>
    </row>
    <row r="16" spans="1:13" ht="24" customHeight="1">
      <c r="A16" s="4" t="s">
        <v>195</v>
      </c>
      <c r="B16" s="19" t="s">
        <v>131</v>
      </c>
      <c r="C16" s="19" t="s">
        <v>132</v>
      </c>
      <c r="D16" s="11">
        <v>2</v>
      </c>
      <c r="E16" s="7" t="s">
        <v>128</v>
      </c>
      <c r="F16" s="9">
        <v>20</v>
      </c>
      <c r="G16" s="10">
        <v>300</v>
      </c>
      <c r="H16" s="10">
        <f t="shared" ref="H16:H27" si="1">F16*G16</f>
        <v>6000</v>
      </c>
      <c r="I16" s="7">
        <v>968</v>
      </c>
      <c r="J16" s="12">
        <v>94.5</v>
      </c>
      <c r="K16" s="12">
        <v>0.60499999999999998</v>
      </c>
      <c r="L16" s="7" t="s">
        <v>129</v>
      </c>
      <c r="M16" s="12" t="s">
        <v>130</v>
      </c>
    </row>
    <row r="17" spans="1:13" ht="24" customHeight="1">
      <c r="A17" s="4" t="s">
        <v>195</v>
      </c>
      <c r="B17" s="21"/>
      <c r="C17" s="21"/>
      <c r="D17" s="11"/>
      <c r="E17" s="7" t="s">
        <v>133</v>
      </c>
      <c r="F17" s="9">
        <v>20</v>
      </c>
      <c r="G17" s="10">
        <v>329</v>
      </c>
      <c r="H17" s="10">
        <f t="shared" si="1"/>
        <v>6580</v>
      </c>
      <c r="I17" s="7">
        <v>1061</v>
      </c>
      <c r="J17" s="12"/>
      <c r="K17" s="12"/>
      <c r="L17" s="7"/>
      <c r="M17" s="12"/>
    </row>
    <row r="18" spans="1:13" ht="24" customHeight="1">
      <c r="A18" s="4" t="s">
        <v>195</v>
      </c>
      <c r="B18" s="20"/>
      <c r="C18" s="20"/>
      <c r="D18" s="11"/>
      <c r="E18" s="7" t="s">
        <v>134</v>
      </c>
      <c r="F18" s="9">
        <v>19</v>
      </c>
      <c r="G18" s="10">
        <v>289</v>
      </c>
      <c r="H18" s="10">
        <f t="shared" si="1"/>
        <v>5491</v>
      </c>
      <c r="I18" s="7">
        <v>886</v>
      </c>
      <c r="J18" s="12"/>
      <c r="K18" s="12"/>
      <c r="L18" s="7"/>
      <c r="M18" s="12"/>
    </row>
    <row r="19" spans="1:13" ht="24" customHeight="1">
      <c r="A19" s="4" t="s">
        <v>195</v>
      </c>
      <c r="B19" s="7" t="s">
        <v>151</v>
      </c>
      <c r="C19" s="7" t="s">
        <v>152</v>
      </c>
      <c r="D19" s="11">
        <v>1</v>
      </c>
      <c r="E19" s="7" t="s">
        <v>153</v>
      </c>
      <c r="F19" s="9">
        <v>30</v>
      </c>
      <c r="G19" s="10">
        <v>220</v>
      </c>
      <c r="H19" s="10">
        <f t="shared" si="1"/>
        <v>6600</v>
      </c>
      <c r="I19" s="7">
        <v>1065</v>
      </c>
      <c r="J19" s="12">
        <v>74</v>
      </c>
      <c r="K19" s="12">
        <v>0.53100000000000003</v>
      </c>
      <c r="L19" s="7" t="s">
        <v>154</v>
      </c>
      <c r="M19" s="12"/>
    </row>
    <row r="20" spans="1:13" ht="24" customHeight="1">
      <c r="A20" s="4" t="s">
        <v>195</v>
      </c>
      <c r="B20" s="7" t="s">
        <v>155</v>
      </c>
      <c r="C20" s="7" t="s">
        <v>156</v>
      </c>
      <c r="D20" s="11"/>
      <c r="E20" s="7" t="s">
        <v>157</v>
      </c>
      <c r="F20" s="9">
        <v>18</v>
      </c>
      <c r="G20" s="10">
        <v>570</v>
      </c>
      <c r="H20" s="10">
        <f t="shared" si="1"/>
        <v>10260</v>
      </c>
      <c r="I20" s="7">
        <v>1655</v>
      </c>
      <c r="J20" s="12"/>
      <c r="K20" s="12"/>
      <c r="L20" s="7" t="s">
        <v>158</v>
      </c>
      <c r="M20" s="12"/>
    </row>
    <row r="21" spans="1:13" ht="24" customHeight="1">
      <c r="A21" s="4" t="s">
        <v>195</v>
      </c>
      <c r="B21" s="7" t="s">
        <v>159</v>
      </c>
      <c r="C21" s="7" t="s">
        <v>160</v>
      </c>
      <c r="D21" s="11">
        <v>1</v>
      </c>
      <c r="E21" s="7" t="s">
        <v>161</v>
      </c>
      <c r="F21" s="9">
        <v>21</v>
      </c>
      <c r="G21" s="10">
        <v>230</v>
      </c>
      <c r="H21" s="10">
        <f t="shared" si="1"/>
        <v>4830</v>
      </c>
      <c r="I21" s="7">
        <v>779</v>
      </c>
      <c r="J21" s="12">
        <v>91</v>
      </c>
      <c r="K21" s="12">
        <v>0.51400000000000001</v>
      </c>
      <c r="L21" s="7" t="s">
        <v>162</v>
      </c>
      <c r="M21" s="12"/>
    </row>
    <row r="22" spans="1:13" ht="24" customHeight="1">
      <c r="A22" s="4" t="s">
        <v>195</v>
      </c>
      <c r="B22" s="7" t="s">
        <v>163</v>
      </c>
      <c r="C22" s="7" t="s">
        <v>164</v>
      </c>
      <c r="D22" s="11"/>
      <c r="E22" s="7" t="s">
        <v>165</v>
      </c>
      <c r="F22" s="9">
        <v>39</v>
      </c>
      <c r="G22" s="10"/>
      <c r="H22" s="10">
        <v>4980</v>
      </c>
      <c r="I22" s="7">
        <v>803</v>
      </c>
      <c r="J22" s="12"/>
      <c r="K22" s="12"/>
      <c r="L22" s="7" t="s">
        <v>166</v>
      </c>
      <c r="M22" s="12"/>
    </row>
    <row r="23" spans="1:13" ht="24" customHeight="1">
      <c r="A23" s="4" t="s">
        <v>195</v>
      </c>
      <c r="B23" s="7" t="s">
        <v>167</v>
      </c>
      <c r="C23" s="7" t="s">
        <v>168</v>
      </c>
      <c r="D23" s="11"/>
      <c r="E23" s="7" t="s">
        <v>169</v>
      </c>
      <c r="F23" s="9">
        <v>12</v>
      </c>
      <c r="G23" s="10">
        <v>150</v>
      </c>
      <c r="H23" s="10">
        <f t="shared" si="1"/>
        <v>1800</v>
      </c>
      <c r="I23" s="7">
        <v>290</v>
      </c>
      <c r="J23" s="12"/>
      <c r="K23" s="12"/>
      <c r="L23" s="7" t="s">
        <v>170</v>
      </c>
      <c r="M23" s="12"/>
    </row>
    <row r="24" spans="1:13" ht="24" customHeight="1">
      <c r="A24" s="4" t="s">
        <v>195</v>
      </c>
      <c r="B24" s="7" t="s">
        <v>171</v>
      </c>
      <c r="C24" s="7" t="s">
        <v>172</v>
      </c>
      <c r="D24" s="11"/>
      <c r="E24" s="7" t="s">
        <v>173</v>
      </c>
      <c r="F24" s="9">
        <v>20</v>
      </c>
      <c r="G24" s="10">
        <v>230</v>
      </c>
      <c r="H24" s="10">
        <f t="shared" si="1"/>
        <v>4600</v>
      </c>
      <c r="I24" s="7">
        <v>742</v>
      </c>
      <c r="J24" s="12"/>
      <c r="K24" s="12"/>
      <c r="L24" s="7" t="s">
        <v>174</v>
      </c>
      <c r="M24" s="12"/>
    </row>
    <row r="25" spans="1:13" ht="24" customHeight="1">
      <c r="A25" s="4" t="s">
        <v>195</v>
      </c>
      <c r="B25" s="7" t="s">
        <v>175</v>
      </c>
      <c r="C25" s="7" t="s">
        <v>176</v>
      </c>
      <c r="D25" s="11">
        <v>1</v>
      </c>
      <c r="E25" s="7" t="s">
        <v>177</v>
      </c>
      <c r="F25" s="9">
        <v>12</v>
      </c>
      <c r="G25" s="10">
        <v>300</v>
      </c>
      <c r="H25" s="10">
        <f t="shared" si="1"/>
        <v>3600</v>
      </c>
      <c r="I25" s="7">
        <v>581</v>
      </c>
      <c r="J25" s="12">
        <v>55</v>
      </c>
      <c r="K25" s="12">
        <v>0.41599999999999998</v>
      </c>
      <c r="L25" s="7" t="s">
        <v>178</v>
      </c>
      <c r="M25" s="12"/>
    </row>
    <row r="26" spans="1:13" ht="24" customHeight="1">
      <c r="A26" s="4" t="s">
        <v>195</v>
      </c>
      <c r="B26" s="7" t="s">
        <v>179</v>
      </c>
      <c r="C26" s="7" t="s">
        <v>180</v>
      </c>
      <c r="D26" s="11"/>
      <c r="E26" s="7" t="s">
        <v>181</v>
      </c>
      <c r="F26" s="9">
        <v>7</v>
      </c>
      <c r="G26" s="10">
        <v>150</v>
      </c>
      <c r="H26" s="10">
        <f t="shared" si="1"/>
        <v>1050</v>
      </c>
      <c r="I26" s="7">
        <v>169</v>
      </c>
      <c r="J26" s="12"/>
      <c r="K26" s="12"/>
      <c r="L26" s="7" t="s">
        <v>182</v>
      </c>
      <c r="M26" s="12"/>
    </row>
    <row r="27" spans="1:13" ht="24" customHeight="1">
      <c r="A27" s="4" t="s">
        <v>195</v>
      </c>
      <c r="B27" s="7" t="s">
        <v>183</v>
      </c>
      <c r="C27" s="7" t="s">
        <v>184</v>
      </c>
      <c r="D27" s="11"/>
      <c r="E27" s="7" t="s">
        <v>185</v>
      </c>
      <c r="F27" s="9">
        <v>9</v>
      </c>
      <c r="G27" s="10">
        <v>150</v>
      </c>
      <c r="H27" s="10">
        <f t="shared" si="1"/>
        <v>1350</v>
      </c>
      <c r="I27" s="7">
        <v>218</v>
      </c>
      <c r="J27" s="12"/>
      <c r="K27" s="12"/>
      <c r="L27" s="7" t="s">
        <v>186</v>
      </c>
      <c r="M27" s="12"/>
    </row>
    <row r="28" spans="1:13" ht="24" customHeight="1">
      <c r="A28" s="4" t="s">
        <v>195</v>
      </c>
      <c r="B28" s="7" t="s">
        <v>187</v>
      </c>
      <c r="C28" s="7" t="s">
        <v>188</v>
      </c>
      <c r="D28" s="11"/>
      <c r="E28" s="7" t="s">
        <v>191</v>
      </c>
      <c r="F28" s="9">
        <v>25</v>
      </c>
      <c r="G28" s="10"/>
      <c r="H28" s="10">
        <v>10000</v>
      </c>
      <c r="I28" s="7">
        <v>1613</v>
      </c>
      <c r="J28" s="12"/>
      <c r="K28" s="12"/>
      <c r="L28" s="7" t="s">
        <v>189</v>
      </c>
      <c r="M28" s="12"/>
    </row>
    <row r="29" spans="1:13" ht="24" customHeight="1">
      <c r="A29" s="4" t="s">
        <v>195</v>
      </c>
      <c r="B29" s="7" t="s">
        <v>59</v>
      </c>
      <c r="C29" s="7" t="s">
        <v>60</v>
      </c>
      <c r="D29" s="8">
        <v>4</v>
      </c>
      <c r="E29" s="7" t="s">
        <v>61</v>
      </c>
      <c r="F29" s="9">
        <v>190</v>
      </c>
      <c r="G29" s="10"/>
      <c r="H29" s="10">
        <v>50000</v>
      </c>
      <c r="I29" s="7">
        <v>8065</v>
      </c>
      <c r="J29" s="7">
        <v>279.60000000000002</v>
      </c>
      <c r="K29" s="7">
        <v>1.6970000000000001</v>
      </c>
      <c r="L29" s="7" t="s">
        <v>62</v>
      </c>
      <c r="M29" s="7" t="s">
        <v>63</v>
      </c>
    </row>
    <row r="30" spans="1:13" ht="24" customHeight="1">
      <c r="A30" s="4" t="s">
        <v>195</v>
      </c>
      <c r="B30" s="7" t="s">
        <v>17</v>
      </c>
      <c r="C30" s="7" t="s">
        <v>18</v>
      </c>
      <c r="D30" s="8">
        <v>1</v>
      </c>
      <c r="E30" s="7" t="s">
        <v>19</v>
      </c>
      <c r="F30" s="9">
        <v>60</v>
      </c>
      <c r="G30" s="10"/>
      <c r="H30" s="10">
        <v>9600</v>
      </c>
      <c r="I30" s="7">
        <v>1548</v>
      </c>
      <c r="J30" s="7">
        <v>76.400000000000006</v>
      </c>
      <c r="K30" s="7">
        <v>0.44</v>
      </c>
      <c r="L30" s="7" t="s">
        <v>20</v>
      </c>
      <c r="M30" s="7"/>
    </row>
    <row r="31" spans="1:13" ht="24" customHeight="1">
      <c r="A31" s="4" t="s">
        <v>195</v>
      </c>
      <c r="B31" s="7" t="s">
        <v>21</v>
      </c>
      <c r="C31" s="7" t="s">
        <v>22</v>
      </c>
      <c r="D31" s="8">
        <v>2</v>
      </c>
      <c r="E31" s="7" t="s">
        <v>23</v>
      </c>
      <c r="F31" s="9" t="s">
        <v>190</v>
      </c>
      <c r="G31" s="10"/>
      <c r="H31" s="10">
        <v>27300</v>
      </c>
      <c r="I31" s="7">
        <v>4403</v>
      </c>
      <c r="J31" s="7">
        <v>165</v>
      </c>
      <c r="K31" s="7">
        <v>0.79900000000000004</v>
      </c>
      <c r="L31" s="7" t="s">
        <v>24</v>
      </c>
      <c r="M31" s="7" t="s">
        <v>25</v>
      </c>
    </row>
    <row r="32" spans="1:13" ht="24" customHeight="1">
      <c r="A32" s="4" t="s">
        <v>195</v>
      </c>
      <c r="B32" s="7" t="s">
        <v>26</v>
      </c>
      <c r="C32" s="7" t="s">
        <v>27</v>
      </c>
      <c r="D32" s="8">
        <v>2</v>
      </c>
      <c r="E32" s="7" t="s">
        <v>28</v>
      </c>
      <c r="F32" s="9" t="s">
        <v>190</v>
      </c>
      <c r="G32" s="10"/>
      <c r="H32" s="10">
        <v>14000</v>
      </c>
      <c r="I32" s="7">
        <v>2258</v>
      </c>
      <c r="J32" s="7">
        <v>163.80000000000001</v>
      </c>
      <c r="K32" s="7">
        <v>0.56399999999999995</v>
      </c>
      <c r="L32" s="7" t="s">
        <v>29</v>
      </c>
      <c r="M32" s="7" t="s">
        <v>30</v>
      </c>
    </row>
    <row r="33" spans="1:13" ht="24" customHeight="1">
      <c r="A33" s="4" t="s">
        <v>195</v>
      </c>
      <c r="B33" s="7" t="s">
        <v>31</v>
      </c>
      <c r="C33" s="7" t="s">
        <v>32</v>
      </c>
      <c r="D33" s="8">
        <v>1</v>
      </c>
      <c r="E33" s="7" t="s">
        <v>23</v>
      </c>
      <c r="F33" s="9" t="s">
        <v>190</v>
      </c>
      <c r="G33" s="10"/>
      <c r="H33" s="10">
        <v>6300</v>
      </c>
      <c r="I33" s="7">
        <v>1016</v>
      </c>
      <c r="J33" s="7">
        <v>84.6</v>
      </c>
      <c r="K33" s="7">
        <v>0.22500000000000001</v>
      </c>
      <c r="L33" s="7" t="s">
        <v>33</v>
      </c>
      <c r="M33" s="7"/>
    </row>
    <row r="34" spans="1:13" ht="24" customHeight="1">
      <c r="A34" s="4" t="s">
        <v>195</v>
      </c>
      <c r="B34" s="7" t="s">
        <v>34</v>
      </c>
      <c r="C34" s="7" t="s">
        <v>35</v>
      </c>
      <c r="D34" s="8">
        <v>1</v>
      </c>
      <c r="E34" s="7" t="s">
        <v>36</v>
      </c>
      <c r="F34" s="9" t="s">
        <v>190</v>
      </c>
      <c r="G34" s="10"/>
      <c r="H34" s="10">
        <v>9300</v>
      </c>
      <c r="I34" s="7">
        <v>1500</v>
      </c>
      <c r="J34" s="7">
        <v>83.2</v>
      </c>
      <c r="K34" s="7">
        <v>0.316</v>
      </c>
      <c r="L34" s="7" t="s">
        <v>37</v>
      </c>
      <c r="M34" s="7"/>
    </row>
    <row r="35" spans="1:13" ht="24" customHeight="1">
      <c r="A35" s="4" t="s">
        <v>195</v>
      </c>
      <c r="B35" s="7" t="s">
        <v>38</v>
      </c>
      <c r="C35" s="7" t="s">
        <v>39</v>
      </c>
      <c r="D35" s="8">
        <v>2</v>
      </c>
      <c r="E35" s="7" t="s">
        <v>40</v>
      </c>
      <c r="F35" s="9">
        <v>225</v>
      </c>
      <c r="G35" s="10"/>
      <c r="H35" s="10">
        <v>9000</v>
      </c>
      <c r="I35" s="7">
        <v>1452</v>
      </c>
      <c r="J35" s="7">
        <v>105.6</v>
      </c>
      <c r="K35" s="7">
        <v>0.64200000000000002</v>
      </c>
      <c r="L35" s="7" t="s">
        <v>41</v>
      </c>
      <c r="M35" s="7" t="s">
        <v>42</v>
      </c>
    </row>
    <row r="36" spans="1:13" ht="24" customHeight="1">
      <c r="A36" s="4" t="s">
        <v>195</v>
      </c>
      <c r="B36" s="7" t="s">
        <v>43</v>
      </c>
      <c r="C36" s="7" t="s">
        <v>44</v>
      </c>
      <c r="D36" s="8">
        <v>1</v>
      </c>
      <c r="E36" s="7" t="s">
        <v>45</v>
      </c>
      <c r="F36" s="9">
        <v>80</v>
      </c>
      <c r="G36" s="10"/>
      <c r="H36" s="10">
        <v>19445</v>
      </c>
      <c r="I36" s="7">
        <v>3136</v>
      </c>
      <c r="J36" s="7">
        <v>67.2</v>
      </c>
      <c r="K36" s="7">
        <v>0.34599999999999997</v>
      </c>
      <c r="L36" s="7" t="s">
        <v>46</v>
      </c>
      <c r="M36" s="7"/>
    </row>
    <row r="37" spans="1:13" ht="24" customHeight="1">
      <c r="A37" s="4" t="s">
        <v>195</v>
      </c>
      <c r="B37" s="7" t="s">
        <v>47</v>
      </c>
      <c r="C37" s="7" t="s">
        <v>48</v>
      </c>
      <c r="D37" s="11">
        <v>1</v>
      </c>
      <c r="E37" s="7" t="s">
        <v>49</v>
      </c>
      <c r="F37" s="9">
        <v>85</v>
      </c>
      <c r="G37" s="10"/>
      <c r="H37" s="10">
        <v>9300</v>
      </c>
      <c r="I37" s="7">
        <v>1500</v>
      </c>
      <c r="J37" s="12">
        <v>101.2</v>
      </c>
      <c r="K37" s="12">
        <v>0.53600000000000003</v>
      </c>
      <c r="L37" s="7" t="s">
        <v>50</v>
      </c>
      <c r="M37" s="12"/>
    </row>
    <row r="38" spans="1:13" ht="24" customHeight="1">
      <c r="A38" s="4" t="s">
        <v>195</v>
      </c>
      <c r="B38" s="12" t="s">
        <v>51</v>
      </c>
      <c r="C38" s="12" t="s">
        <v>52</v>
      </c>
      <c r="D38" s="11"/>
      <c r="E38" s="7" t="s">
        <v>53</v>
      </c>
      <c r="F38" s="9">
        <v>15</v>
      </c>
      <c r="G38" s="10">
        <v>390</v>
      </c>
      <c r="H38" s="10">
        <f t="shared" ref="H38:H39" si="2">F38*G38</f>
        <v>5850</v>
      </c>
      <c r="I38" s="7">
        <v>944</v>
      </c>
      <c r="J38" s="12"/>
      <c r="K38" s="12"/>
      <c r="L38" s="7"/>
      <c r="M38" s="12"/>
    </row>
    <row r="39" spans="1:13" ht="24" customHeight="1">
      <c r="A39" s="4" t="s">
        <v>195</v>
      </c>
      <c r="B39" s="12"/>
      <c r="C39" s="12"/>
      <c r="D39" s="11"/>
      <c r="E39" s="7" t="s">
        <v>54</v>
      </c>
      <c r="F39" s="9">
        <v>15</v>
      </c>
      <c r="G39" s="10">
        <v>565</v>
      </c>
      <c r="H39" s="10">
        <f t="shared" si="2"/>
        <v>8475</v>
      </c>
      <c r="I39" s="7">
        <v>1367</v>
      </c>
      <c r="J39" s="12"/>
      <c r="K39" s="12"/>
      <c r="L39" s="7"/>
      <c r="M39" s="12"/>
    </row>
    <row r="40" spans="1:13" ht="24" customHeight="1">
      <c r="A40" s="4" t="s">
        <v>195</v>
      </c>
      <c r="B40" s="7" t="s">
        <v>55</v>
      </c>
      <c r="C40" s="7" t="s">
        <v>56</v>
      </c>
      <c r="D40" s="11"/>
      <c r="E40" s="7" t="s">
        <v>57</v>
      </c>
      <c r="F40" s="9">
        <v>27</v>
      </c>
      <c r="G40" s="10"/>
      <c r="H40" s="10">
        <v>6200</v>
      </c>
      <c r="I40" s="7">
        <v>1000</v>
      </c>
      <c r="J40" s="12"/>
      <c r="K40" s="12"/>
      <c r="L40" s="7" t="s">
        <v>58</v>
      </c>
      <c r="M40" s="12"/>
    </row>
    <row r="41" spans="1:13" ht="24" customHeight="1">
      <c r="A41" s="4" t="s">
        <v>195</v>
      </c>
      <c r="B41" s="19" t="s">
        <v>86</v>
      </c>
      <c r="C41" s="19" t="s">
        <v>87</v>
      </c>
      <c r="D41" s="11">
        <v>2</v>
      </c>
      <c r="E41" s="7" t="s">
        <v>81</v>
      </c>
      <c r="F41" s="9">
        <v>16</v>
      </c>
      <c r="G41" s="10">
        <v>80</v>
      </c>
      <c r="H41" s="10">
        <f t="shared" ref="H41:H55" si="3">F41*G41</f>
        <v>1280</v>
      </c>
      <c r="I41" s="7">
        <v>206</v>
      </c>
      <c r="J41" s="12">
        <v>137</v>
      </c>
      <c r="K41" s="12">
        <v>0.84299999999999997</v>
      </c>
      <c r="L41" s="7" t="s">
        <v>82</v>
      </c>
      <c r="M41" s="12" t="s">
        <v>83</v>
      </c>
    </row>
    <row r="42" spans="1:13" ht="24" customHeight="1">
      <c r="A42" s="4" t="s">
        <v>195</v>
      </c>
      <c r="B42" s="21"/>
      <c r="C42" s="21"/>
      <c r="D42" s="11"/>
      <c r="E42" s="7" t="s">
        <v>84</v>
      </c>
      <c r="F42" s="9">
        <v>57</v>
      </c>
      <c r="G42" s="10">
        <v>60</v>
      </c>
      <c r="H42" s="10">
        <f t="shared" si="3"/>
        <v>3420</v>
      </c>
      <c r="I42" s="7">
        <v>552</v>
      </c>
      <c r="J42" s="12"/>
      <c r="K42" s="12"/>
      <c r="L42" s="7" t="s">
        <v>85</v>
      </c>
      <c r="M42" s="12"/>
    </row>
    <row r="43" spans="1:13" ht="24" customHeight="1">
      <c r="A43" s="4" t="s">
        <v>195</v>
      </c>
      <c r="B43" s="21"/>
      <c r="C43" s="21"/>
      <c r="D43" s="11"/>
      <c r="E43" s="7" t="s">
        <v>88</v>
      </c>
      <c r="F43" s="9">
        <v>36</v>
      </c>
      <c r="G43" s="10">
        <v>50</v>
      </c>
      <c r="H43" s="10">
        <f t="shared" si="3"/>
        <v>1800</v>
      </c>
      <c r="I43" s="7">
        <v>290</v>
      </c>
      <c r="J43" s="12"/>
      <c r="K43" s="12"/>
      <c r="L43" s="7" t="s">
        <v>89</v>
      </c>
      <c r="M43" s="12"/>
    </row>
    <row r="44" spans="1:13" ht="24" customHeight="1">
      <c r="A44" s="4" t="s">
        <v>195</v>
      </c>
      <c r="B44" s="21"/>
      <c r="C44" s="21"/>
      <c r="D44" s="11"/>
      <c r="E44" s="7" t="s">
        <v>90</v>
      </c>
      <c r="F44" s="9">
        <v>29</v>
      </c>
      <c r="G44" s="10">
        <v>40</v>
      </c>
      <c r="H44" s="10">
        <f t="shared" si="3"/>
        <v>1160</v>
      </c>
      <c r="I44" s="7">
        <v>187</v>
      </c>
      <c r="J44" s="12"/>
      <c r="K44" s="12"/>
      <c r="L44" s="7" t="s">
        <v>91</v>
      </c>
      <c r="M44" s="12"/>
    </row>
    <row r="45" spans="1:13" ht="24" customHeight="1">
      <c r="A45" s="4" t="s">
        <v>195</v>
      </c>
      <c r="B45" s="21"/>
      <c r="C45" s="21"/>
      <c r="D45" s="11"/>
      <c r="E45" s="7" t="s">
        <v>92</v>
      </c>
      <c r="F45" s="9">
        <v>29</v>
      </c>
      <c r="G45" s="10">
        <v>50</v>
      </c>
      <c r="H45" s="10">
        <f t="shared" si="3"/>
        <v>1450</v>
      </c>
      <c r="I45" s="7">
        <v>234</v>
      </c>
      <c r="J45" s="12"/>
      <c r="K45" s="12"/>
      <c r="L45" s="7" t="s">
        <v>93</v>
      </c>
      <c r="M45" s="12"/>
    </row>
    <row r="46" spans="1:13" ht="24" customHeight="1">
      <c r="A46" s="4" t="s">
        <v>195</v>
      </c>
      <c r="B46" s="21"/>
      <c r="C46" s="21"/>
      <c r="D46" s="11"/>
      <c r="E46" s="7" t="s">
        <v>94</v>
      </c>
      <c r="F46" s="9">
        <v>36</v>
      </c>
      <c r="G46" s="10">
        <v>40</v>
      </c>
      <c r="H46" s="10">
        <f t="shared" si="3"/>
        <v>1440</v>
      </c>
      <c r="I46" s="7">
        <v>232</v>
      </c>
      <c r="J46" s="12"/>
      <c r="K46" s="12"/>
      <c r="L46" s="7" t="s">
        <v>95</v>
      </c>
      <c r="M46" s="12"/>
    </row>
    <row r="47" spans="1:13" ht="24" customHeight="1">
      <c r="A47" s="4" t="s">
        <v>195</v>
      </c>
      <c r="B47" s="20"/>
      <c r="C47" s="20"/>
      <c r="D47" s="11"/>
      <c r="E47" s="7" t="s">
        <v>96</v>
      </c>
      <c r="F47" s="9">
        <v>20</v>
      </c>
      <c r="G47" s="10">
        <v>50</v>
      </c>
      <c r="H47" s="10">
        <f t="shared" si="3"/>
        <v>1000</v>
      </c>
      <c r="I47" s="7">
        <v>161</v>
      </c>
      <c r="J47" s="12"/>
      <c r="K47" s="12"/>
      <c r="L47" s="7" t="s">
        <v>97</v>
      </c>
      <c r="M47" s="12"/>
    </row>
    <row r="48" spans="1:13" ht="24" customHeight="1">
      <c r="A48" s="4" t="s">
        <v>195</v>
      </c>
      <c r="B48" s="12" t="s">
        <v>98</v>
      </c>
      <c r="C48" s="12" t="s">
        <v>99</v>
      </c>
      <c r="D48" s="11">
        <v>2</v>
      </c>
      <c r="E48" s="7" t="s">
        <v>100</v>
      </c>
      <c r="F48" s="9">
        <v>10</v>
      </c>
      <c r="G48" s="10">
        <v>150</v>
      </c>
      <c r="H48" s="10">
        <f t="shared" si="3"/>
        <v>1500</v>
      </c>
      <c r="I48" s="7">
        <v>242</v>
      </c>
      <c r="J48" s="12">
        <v>111</v>
      </c>
      <c r="K48" s="12">
        <v>0.65100000000000002</v>
      </c>
      <c r="L48" s="7" t="s">
        <v>101</v>
      </c>
      <c r="M48" s="12" t="s">
        <v>102</v>
      </c>
    </row>
    <row r="49" spans="1:13" ht="24" customHeight="1">
      <c r="A49" s="4" t="s">
        <v>195</v>
      </c>
      <c r="B49" s="12"/>
      <c r="C49" s="12"/>
      <c r="D49" s="11"/>
      <c r="E49" s="7" t="s">
        <v>103</v>
      </c>
      <c r="F49" s="9">
        <v>20</v>
      </c>
      <c r="G49" s="10">
        <v>150</v>
      </c>
      <c r="H49" s="10">
        <f t="shared" si="3"/>
        <v>3000</v>
      </c>
      <c r="I49" s="7">
        <v>484</v>
      </c>
      <c r="J49" s="12"/>
      <c r="K49" s="12"/>
      <c r="L49" s="7" t="s">
        <v>104</v>
      </c>
      <c r="M49" s="12"/>
    </row>
    <row r="50" spans="1:13" ht="24" customHeight="1">
      <c r="A50" s="4" t="s">
        <v>195</v>
      </c>
      <c r="B50" s="12"/>
      <c r="C50" s="12"/>
      <c r="D50" s="11"/>
      <c r="E50" s="7" t="s">
        <v>105</v>
      </c>
      <c r="F50" s="9">
        <v>10</v>
      </c>
      <c r="G50" s="10">
        <v>150</v>
      </c>
      <c r="H50" s="10">
        <f t="shared" si="3"/>
        <v>1500</v>
      </c>
      <c r="I50" s="7">
        <v>242</v>
      </c>
      <c r="J50" s="12"/>
      <c r="K50" s="12"/>
      <c r="L50" s="7" t="s">
        <v>106</v>
      </c>
      <c r="M50" s="12"/>
    </row>
    <row r="51" spans="1:13" ht="24" customHeight="1">
      <c r="A51" s="4" t="s">
        <v>195</v>
      </c>
      <c r="B51" s="12"/>
      <c r="C51" s="12"/>
      <c r="D51" s="11"/>
      <c r="E51" s="7" t="s">
        <v>107</v>
      </c>
      <c r="F51" s="9">
        <v>10</v>
      </c>
      <c r="G51" s="10">
        <v>150</v>
      </c>
      <c r="H51" s="10">
        <f t="shared" si="3"/>
        <v>1500</v>
      </c>
      <c r="I51" s="7">
        <v>242</v>
      </c>
      <c r="J51" s="12"/>
      <c r="K51" s="12"/>
      <c r="L51" s="7" t="s">
        <v>108</v>
      </c>
      <c r="M51" s="12"/>
    </row>
    <row r="52" spans="1:13" ht="24" customHeight="1">
      <c r="A52" s="4" t="s">
        <v>195</v>
      </c>
      <c r="B52" s="12"/>
      <c r="C52" s="12"/>
      <c r="D52" s="11"/>
      <c r="E52" s="7" t="s">
        <v>109</v>
      </c>
      <c r="F52" s="9">
        <v>20</v>
      </c>
      <c r="G52" s="10">
        <v>150</v>
      </c>
      <c r="H52" s="10">
        <f t="shared" si="3"/>
        <v>3000</v>
      </c>
      <c r="I52" s="7">
        <v>484</v>
      </c>
      <c r="J52" s="12"/>
      <c r="K52" s="12"/>
      <c r="L52" s="7" t="s">
        <v>110</v>
      </c>
      <c r="M52" s="12"/>
    </row>
    <row r="53" spans="1:13" ht="24" customHeight="1">
      <c r="A53" s="4" t="s">
        <v>195</v>
      </c>
      <c r="B53" s="12"/>
      <c r="C53" s="12"/>
      <c r="D53" s="11"/>
      <c r="E53" s="7" t="s">
        <v>111</v>
      </c>
      <c r="F53" s="9">
        <v>10</v>
      </c>
      <c r="G53" s="10">
        <v>150</v>
      </c>
      <c r="H53" s="10">
        <f t="shared" si="3"/>
        <v>1500</v>
      </c>
      <c r="I53" s="7">
        <v>242</v>
      </c>
      <c r="J53" s="12"/>
      <c r="K53" s="12"/>
      <c r="L53" s="7" t="s">
        <v>112</v>
      </c>
      <c r="M53" s="12"/>
    </row>
    <row r="54" spans="1:13" ht="24" customHeight="1">
      <c r="A54" s="4" t="s">
        <v>195</v>
      </c>
      <c r="B54" s="7" t="s">
        <v>135</v>
      </c>
      <c r="C54" s="7" t="s">
        <v>136</v>
      </c>
      <c r="D54" s="11">
        <v>1</v>
      </c>
      <c r="E54" s="7" t="s">
        <v>137</v>
      </c>
      <c r="F54" s="9">
        <v>8</v>
      </c>
      <c r="G54" s="10">
        <v>575</v>
      </c>
      <c r="H54" s="10">
        <f t="shared" si="3"/>
        <v>4600</v>
      </c>
      <c r="I54" s="7">
        <v>742</v>
      </c>
      <c r="J54" s="12">
        <v>57.5</v>
      </c>
      <c r="K54" s="12">
        <v>0.371</v>
      </c>
      <c r="L54" s="7" t="s">
        <v>138</v>
      </c>
      <c r="M54" s="12"/>
    </row>
    <row r="55" spans="1:13" ht="24" customHeight="1">
      <c r="A55" s="4" t="s">
        <v>195</v>
      </c>
      <c r="B55" s="7" t="s">
        <v>139</v>
      </c>
      <c r="C55" s="7" t="s">
        <v>140</v>
      </c>
      <c r="D55" s="11"/>
      <c r="E55" s="7" t="s">
        <v>141</v>
      </c>
      <c r="F55" s="9">
        <v>8</v>
      </c>
      <c r="G55" s="10">
        <v>450</v>
      </c>
      <c r="H55" s="10">
        <f t="shared" si="3"/>
        <v>3600</v>
      </c>
      <c r="I55" s="7">
        <v>581</v>
      </c>
      <c r="J55" s="12"/>
      <c r="K55" s="12"/>
      <c r="L55" s="7" t="s">
        <v>142</v>
      </c>
      <c r="M55" s="12"/>
    </row>
    <row r="56" spans="1:13" ht="24" customHeight="1">
      <c r="A56" s="4" t="s">
        <v>195</v>
      </c>
      <c r="B56" s="7" t="s">
        <v>143</v>
      </c>
      <c r="C56" s="7" t="s">
        <v>144</v>
      </c>
      <c r="D56" s="11"/>
      <c r="E56" s="7" t="s">
        <v>145</v>
      </c>
      <c r="F56" s="9">
        <v>10</v>
      </c>
      <c r="G56" s="10"/>
      <c r="H56" s="10">
        <v>2400</v>
      </c>
      <c r="I56" s="7">
        <v>387</v>
      </c>
      <c r="J56" s="12"/>
      <c r="K56" s="12"/>
      <c r="L56" s="7" t="s">
        <v>146</v>
      </c>
      <c r="M56" s="12"/>
    </row>
    <row r="57" spans="1:13" ht="24" customHeight="1">
      <c r="A57" s="4" t="s">
        <v>195</v>
      </c>
      <c r="B57" s="7" t="s">
        <v>147</v>
      </c>
      <c r="C57" s="7" t="s">
        <v>148</v>
      </c>
      <c r="D57" s="11"/>
      <c r="E57" s="7" t="s">
        <v>149</v>
      </c>
      <c r="F57" s="9">
        <v>6</v>
      </c>
      <c r="G57" s="10"/>
      <c r="H57" s="10">
        <v>1860</v>
      </c>
      <c r="I57" s="7">
        <v>300</v>
      </c>
      <c r="J57" s="12"/>
      <c r="K57" s="12"/>
      <c r="L57" s="7" t="s">
        <v>150</v>
      </c>
      <c r="M57" s="12"/>
    </row>
    <row r="58" spans="1:13" ht="24" customHeight="1"/>
    <row r="59" spans="1:13" ht="24" customHeight="1"/>
    <row r="60" spans="1:13" ht="24" customHeight="1"/>
    <row r="61" spans="1:13" ht="24" customHeight="1"/>
    <row r="62" spans="1:13" ht="24" customHeight="1"/>
    <row r="63" spans="1:13" ht="24" customHeight="1"/>
    <row r="64" spans="1:13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  <row r="81" ht="24" customHeight="1"/>
  </sheetData>
  <mergeCells count="79">
    <mergeCell ref="M6:M7"/>
    <mergeCell ref="J2:L2"/>
    <mergeCell ref="H2:I2"/>
    <mergeCell ref="D2:E2"/>
    <mergeCell ref="F2:G2"/>
    <mergeCell ref="B2:C2"/>
    <mergeCell ref="D4:D5"/>
    <mergeCell ref="J4:J5"/>
    <mergeCell ref="K4:K5"/>
    <mergeCell ref="M4:M5"/>
    <mergeCell ref="B4:B5"/>
    <mergeCell ref="C4:C5"/>
    <mergeCell ref="B6:B7"/>
    <mergeCell ref="C6:C7"/>
    <mergeCell ref="D8:D9"/>
    <mergeCell ref="J8:J9"/>
    <mergeCell ref="K8:K9"/>
    <mergeCell ref="B38:B39"/>
    <mergeCell ref="C38:C39"/>
    <mergeCell ref="D37:D40"/>
    <mergeCell ref="J37:J40"/>
    <mergeCell ref="K37:K40"/>
    <mergeCell ref="D6:D7"/>
    <mergeCell ref="J6:J7"/>
    <mergeCell ref="K6:K7"/>
    <mergeCell ref="B10:B13"/>
    <mergeCell ref="D48:D53"/>
    <mergeCell ref="J48:J53"/>
    <mergeCell ref="K48:K53"/>
    <mergeCell ref="M48:M53"/>
    <mergeCell ref="B48:B53"/>
    <mergeCell ref="C48:C53"/>
    <mergeCell ref="M8:M9"/>
    <mergeCell ref="B8:B9"/>
    <mergeCell ref="C8:C9"/>
    <mergeCell ref="D41:D47"/>
    <mergeCell ref="J41:J47"/>
    <mergeCell ref="K41:K47"/>
    <mergeCell ref="M41:M47"/>
    <mergeCell ref="C41:C47"/>
    <mergeCell ref="B41:B47"/>
    <mergeCell ref="M37:M40"/>
    <mergeCell ref="M10:M13"/>
    <mergeCell ref="D14:D15"/>
    <mergeCell ref="J14:J15"/>
    <mergeCell ref="K14:K15"/>
    <mergeCell ref="M14:M15"/>
    <mergeCell ref="D10:D13"/>
    <mergeCell ref="J10:J13"/>
    <mergeCell ref="K10:K13"/>
    <mergeCell ref="B14:B15"/>
    <mergeCell ref="C14:C15"/>
    <mergeCell ref="D16:D18"/>
    <mergeCell ref="J16:J18"/>
    <mergeCell ref="K16:K18"/>
    <mergeCell ref="C16:C18"/>
    <mergeCell ref="B16:B18"/>
    <mergeCell ref="H14:H15"/>
    <mergeCell ref="I14:I15"/>
    <mergeCell ref="M16:M18"/>
    <mergeCell ref="D54:D57"/>
    <mergeCell ref="J54:J57"/>
    <mergeCell ref="K54:K57"/>
    <mergeCell ref="M54:M57"/>
    <mergeCell ref="D25:D28"/>
    <mergeCell ref="J25:J28"/>
    <mergeCell ref="K25:K28"/>
    <mergeCell ref="M25:M28"/>
    <mergeCell ref="B1:M1"/>
    <mergeCell ref="F14:F15"/>
    <mergeCell ref="C10:C13"/>
    <mergeCell ref="D19:D20"/>
    <mergeCell ref="J19:J20"/>
    <mergeCell ref="K19:K20"/>
    <mergeCell ref="M19:M20"/>
    <mergeCell ref="D21:D24"/>
    <mergeCell ref="J21:J24"/>
    <mergeCell ref="K21:K24"/>
    <mergeCell ref="M21:M24"/>
  </mergeCells>
  <phoneticPr fontId="1" type="noConversion"/>
  <printOptions verticalCentered="1"/>
  <pageMargins left="0.11811023622047" right="0.11811023622047" top="0.11811023622047" bottom="0.11811023622047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京258库飞机-第150单-2015-10-10-32包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</dc:creator>
  <cp:lastModifiedBy>微软用户</cp:lastModifiedBy>
  <dcterms:created xsi:type="dcterms:W3CDTF">2011-12-31T06:39:17Z</dcterms:created>
  <dcterms:modified xsi:type="dcterms:W3CDTF">2015-10-10T16:53:35Z</dcterms:modified>
</cp:coreProperties>
</file>