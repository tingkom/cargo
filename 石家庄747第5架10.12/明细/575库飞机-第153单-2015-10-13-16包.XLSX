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910" windowHeight="10500"/>
  </bookViews>
  <sheets>
    <sheet name="京258库飞机-第153单-2015-10-13-16包" sheetId="1" r:id="rId1"/>
  </sheets>
  <calcPr calcId="144525"/>
</workbook>
</file>

<file path=xl/sharedStrings.xml><?xml version="1.0" encoding="utf-8"?>
<sst xmlns="http://schemas.openxmlformats.org/spreadsheetml/2006/main" count="76">
  <si>
    <t>京258库飞机-第153单-2015-10-13-16包</t>
  </si>
  <si>
    <t>城市</t>
  </si>
  <si>
    <t>出库单位：258库飞机</t>
  </si>
  <si>
    <t>日期：2015-10-13</t>
  </si>
  <si>
    <t>总包数：16</t>
  </si>
  <si>
    <t>220958￥=35636$</t>
  </si>
  <si>
    <t>总数量：1468</t>
  </si>
  <si>
    <t>总重量：1153.6</t>
  </si>
  <si>
    <t>总体积：5.647</t>
  </si>
  <si>
    <t>货主</t>
  </si>
  <si>
    <t>入库日期</t>
  </si>
  <si>
    <t>包数</t>
  </si>
  <si>
    <t>品名</t>
  </si>
  <si>
    <t>件数</t>
  </si>
  <si>
    <t>单价</t>
  </si>
  <si>
    <t>总货值</t>
  </si>
  <si>
    <t>总货值$</t>
  </si>
  <si>
    <t>公斤数</t>
  </si>
  <si>
    <t>立方数</t>
  </si>
  <si>
    <t>品牌</t>
  </si>
  <si>
    <t>备注</t>
  </si>
  <si>
    <t>莫斯科</t>
  </si>
  <si>
    <t>MS0467</t>
  </si>
  <si>
    <t>2015-10-13</t>
  </si>
  <si>
    <t>女棉服</t>
  </si>
  <si>
    <t>1）60件 103.6kg 2）60件 103.4kg 3）60件 103.4kg</t>
  </si>
  <si>
    <t>GMT0413</t>
  </si>
  <si>
    <t>2015-10-11</t>
  </si>
  <si>
    <t>毛衣</t>
  </si>
  <si>
    <t>K</t>
  </si>
  <si>
    <t>GMT0814</t>
  </si>
  <si>
    <t>杂服</t>
  </si>
  <si>
    <t>GMT0849</t>
  </si>
  <si>
    <t>GMS11098</t>
  </si>
  <si>
    <t>杂货</t>
  </si>
  <si>
    <t>无件数</t>
  </si>
  <si>
    <t>MS6788</t>
  </si>
  <si>
    <t>女童滑雪服</t>
  </si>
  <si>
    <t>1）56kg-34件 2）56kg-33件 3）55.5kg-33件</t>
  </si>
  <si>
    <t>MT2828A</t>
  </si>
  <si>
    <t>女棉套</t>
  </si>
  <si>
    <t>YIGUO</t>
  </si>
  <si>
    <t>GMT0444</t>
  </si>
  <si>
    <t>毛衣53.6kg</t>
  </si>
  <si>
    <t>GMS11093</t>
  </si>
  <si>
    <t>杂服9.6kg</t>
  </si>
  <si>
    <t>ML12347</t>
  </si>
  <si>
    <t>女连衣裙42kg</t>
  </si>
  <si>
    <t>ELEWI VIARE</t>
  </si>
  <si>
    <t>MS12548</t>
  </si>
  <si>
    <t>女连衣裙36.5kg</t>
  </si>
  <si>
    <t>MS6915</t>
  </si>
  <si>
    <t>男毛衣15kg</t>
  </si>
  <si>
    <t>K AJ</t>
  </si>
  <si>
    <t>帽子</t>
  </si>
  <si>
    <t>ML0132</t>
  </si>
  <si>
    <t>女连衣裙20kg</t>
  </si>
  <si>
    <t>男棉服26.5kg</t>
  </si>
  <si>
    <t>AJ</t>
  </si>
  <si>
    <t>女毛衣</t>
  </si>
  <si>
    <t>K COCO</t>
  </si>
  <si>
    <t>K LOVEMOSCHIWO</t>
  </si>
  <si>
    <t>K VALENTNO</t>
  </si>
  <si>
    <t>MS12285</t>
  </si>
  <si>
    <t>女连衣裙19.5kg</t>
  </si>
  <si>
    <t>MT12645</t>
  </si>
  <si>
    <t>女童棉服40kg</t>
  </si>
  <si>
    <t>BURBERRY</t>
  </si>
  <si>
    <t>MS12273</t>
  </si>
  <si>
    <t>2015-10-12</t>
  </si>
  <si>
    <t>女羽绒服38kg</t>
  </si>
  <si>
    <t>RUFUETE</t>
  </si>
  <si>
    <t>女羽绒服</t>
  </si>
  <si>
    <t>MS0240</t>
  </si>
  <si>
    <t>男皮鞋</t>
  </si>
  <si>
    <t>男皮包</t>
  </si>
</sst>
</file>

<file path=xl/styles.xml><?xml version="1.0" encoding="utf-8"?>
<styleSheet xmlns="http://schemas.openxmlformats.org/spreadsheetml/2006/main">
  <numFmts count="6">
    <numFmt numFmtId="176" formatCode="&quot;￥&quot;#,##0;[Red]&quot;￥&quot;#,##0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7" formatCode="0;[Red]0"/>
  </numFmts>
  <fonts count="12">
    <font>
      <sz val="11"/>
      <color indexed="8"/>
      <name val="宋体"/>
      <charset val="134"/>
    </font>
    <font>
      <b/>
      <sz val="18"/>
      <color indexed="8"/>
      <name val="微软雅黑"/>
      <charset val="134"/>
    </font>
    <font>
      <b/>
      <sz val="16"/>
      <color indexed="8"/>
      <name val="宋体"/>
      <charset val="134"/>
    </font>
    <font>
      <b/>
      <sz val="16"/>
      <color indexed="8"/>
      <name val="微软雅黑"/>
      <charset val="134"/>
    </font>
    <font>
      <sz val="16"/>
      <color indexed="8"/>
      <name val="微软雅黑"/>
      <charset val="134"/>
    </font>
    <font>
      <sz val="11"/>
      <color indexed="8"/>
      <name val="微软雅黑"/>
      <charset val="134"/>
    </font>
    <font>
      <sz val="16"/>
      <color indexed="8"/>
      <name val="宋体"/>
      <charset val="134"/>
    </font>
    <font>
      <sz val="12"/>
      <color indexed="8"/>
      <name val="微软雅黑"/>
      <charset val="134"/>
    </font>
    <font>
      <sz val="14"/>
      <color indexed="8"/>
      <name val="微软雅黑"/>
      <charset val="134"/>
    </font>
    <font>
      <sz val="10"/>
      <color indexed="8"/>
      <name val="微软雅黑"/>
      <charset val="134"/>
    </font>
    <font>
      <b/>
      <sz val="12"/>
      <color indexed="8"/>
      <name val="宋体"/>
      <charset val="134"/>
    </font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/>
      <top style="thin">
        <color indexed="8"/>
      </top>
      <bottom/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76" fontId="5" fillId="0" borderId="3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3" fontId="9" fillId="0" borderId="3" xfId="0" applyNumberFormat="1" applyFont="1" applyBorder="1" applyAlignment="1">
      <alignment horizontal="center" vertical="center" wrapText="1"/>
    </xf>
    <xf numFmtId="176" fontId="9" fillId="0" borderId="3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1" fontId="9" fillId="0" borderId="7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1" fontId="9" fillId="0" borderId="10" xfId="0" applyNumberFormat="1" applyFont="1" applyBorder="1" applyAlignment="1">
      <alignment horizontal="center" vertical="center" wrapText="1"/>
    </xf>
    <xf numFmtId="3" fontId="9" fillId="0" borderId="7" xfId="0" applyNumberFormat="1" applyFont="1" applyBorder="1" applyAlignment="1">
      <alignment horizontal="center" vertical="center" wrapText="1"/>
    </xf>
    <xf numFmtId="176" fontId="9" fillId="0" borderId="7" xfId="0" applyNumberFormat="1" applyFont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 wrapText="1"/>
    </xf>
    <xf numFmtId="176" fontId="9" fillId="0" borderId="10" xfId="0" applyNumberFormat="1" applyFont="1" applyBorder="1" applyAlignment="1">
      <alignment horizontal="center" vertical="center" wrapText="1"/>
    </xf>
    <xf numFmtId="176" fontId="9" fillId="0" borderId="11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176" fontId="9" fillId="0" borderId="5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9" fillId="0" borderId="8" xfId="0" applyNumberFormat="1" applyFont="1" applyBorder="1" applyAlignment="1">
      <alignment horizontal="center" vertical="center" wrapText="1"/>
    </xf>
    <xf numFmtId="176" fontId="9" fillId="0" borderId="16" xfId="0" applyNumberFormat="1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9" fillId="0" borderId="10" xfId="0" applyFont="1" applyBorder="1" applyAlignment="1">
      <alignment vertical="center" wrapText="1"/>
    </xf>
    <xf numFmtId="0" fontId="10" fillId="0" borderId="17" xfId="0" applyFont="1" applyBorder="1" applyAlignment="1">
      <alignment horizontal="center" vertical="center"/>
    </xf>
    <xf numFmtId="176" fontId="9" fillId="0" borderId="18" xfId="0" applyNumberFormat="1" applyFont="1" applyBorder="1" applyAlignment="1">
      <alignment horizontal="center" vertical="center" wrapText="1"/>
    </xf>
    <xf numFmtId="176" fontId="9" fillId="0" borderId="19" xfId="0" applyNumberFormat="1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/>
    </xf>
    <xf numFmtId="176" fontId="9" fillId="0" borderId="21" xfId="0" applyNumberFormat="1" applyFont="1" applyBorder="1" applyAlignment="1">
      <alignment horizontal="center" vertical="center" wrapText="1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O36"/>
  <sheetViews>
    <sheetView tabSelected="1" workbookViewId="0">
      <selection activeCell="N19" sqref="N19"/>
    </sheetView>
  </sheetViews>
  <sheetFormatPr defaultColWidth="9" defaultRowHeight="13.5"/>
  <cols>
    <col min="1" max="1" width="0.25" style="1" customWidth="1"/>
    <col min="2" max="2" width="9.5" style="1" customWidth="1"/>
    <col min="3" max="3" width="9.75" style="1" customWidth="1"/>
    <col min="4" max="4" width="11.125" style="1" customWidth="1"/>
    <col min="5" max="5" width="6.25" style="1" customWidth="1"/>
    <col min="6" max="6" width="12.375" style="1" customWidth="1"/>
    <col min="7" max="7" width="7.375" style="1" customWidth="1"/>
    <col min="8" max="8" width="8.875" style="2" customWidth="1"/>
    <col min="9" max="9" width="10" style="2" customWidth="1"/>
    <col min="10" max="10" width="10" style="1" customWidth="1"/>
    <col min="11" max="11" width="7.25" style="1" customWidth="1"/>
    <col min="12" max="12" width="6.875" style="1" customWidth="1"/>
    <col min="13" max="13" width="16.25" style="1" customWidth="1"/>
    <col min="14" max="14" width="27.625" style="1" customWidth="1"/>
    <col min="15" max="15" width="12.625" style="1"/>
    <col min="16" max="16377" width="9" style="1"/>
  </cols>
  <sheetData>
    <row r="1" ht="24.75" spans="1:14">
      <c r="A1" s="3"/>
      <c r="B1" s="3"/>
      <c r="C1" s="4"/>
      <c r="D1" s="5" t="s">
        <v>0</v>
      </c>
      <c r="E1" s="6"/>
      <c r="F1" s="6"/>
      <c r="G1" s="6"/>
      <c r="H1" s="7"/>
      <c r="I1" s="7"/>
      <c r="J1" s="6"/>
      <c r="K1" s="6"/>
      <c r="L1" s="6"/>
      <c r="M1" s="6"/>
      <c r="N1" s="43"/>
    </row>
    <row r="2" ht="33" spans="1:14">
      <c r="A2" s="8"/>
      <c r="B2" s="9" t="s">
        <v>1</v>
      </c>
      <c r="C2" s="10" t="s">
        <v>2</v>
      </c>
      <c r="D2" s="11"/>
      <c r="E2" s="12" t="s">
        <v>3</v>
      </c>
      <c r="F2" s="13"/>
      <c r="G2" s="12" t="s">
        <v>4</v>
      </c>
      <c r="H2" s="14"/>
      <c r="I2" s="14" t="s">
        <v>5</v>
      </c>
      <c r="J2" s="12"/>
      <c r="K2" s="10" t="s">
        <v>6</v>
      </c>
      <c r="L2" s="11"/>
      <c r="M2" s="10" t="s">
        <v>7</v>
      </c>
      <c r="N2" s="44" t="s">
        <v>8</v>
      </c>
    </row>
    <row r="3" ht="20.25" spans="1:14">
      <c r="A3" s="15"/>
      <c r="B3" s="16"/>
      <c r="C3" s="10" t="s">
        <v>9</v>
      </c>
      <c r="D3" s="12" t="s">
        <v>10</v>
      </c>
      <c r="E3" s="12" t="s">
        <v>11</v>
      </c>
      <c r="F3" s="17" t="s">
        <v>12</v>
      </c>
      <c r="G3" s="12" t="s">
        <v>13</v>
      </c>
      <c r="H3" s="14" t="s">
        <v>14</v>
      </c>
      <c r="I3" s="14" t="s">
        <v>15</v>
      </c>
      <c r="J3" s="45" t="s">
        <v>16</v>
      </c>
      <c r="K3" s="10" t="s">
        <v>17</v>
      </c>
      <c r="L3" s="12" t="s">
        <v>18</v>
      </c>
      <c r="M3" s="12" t="s">
        <v>19</v>
      </c>
      <c r="N3" s="12" t="s">
        <v>20</v>
      </c>
    </row>
    <row r="4" ht="33" spans="1:15">
      <c r="A4" s="18"/>
      <c r="B4" s="19" t="s">
        <v>21</v>
      </c>
      <c r="C4" s="20" t="s">
        <v>22</v>
      </c>
      <c r="D4" s="21" t="s">
        <v>23</v>
      </c>
      <c r="E4" s="22">
        <v>3</v>
      </c>
      <c r="F4" s="23" t="s">
        <v>24</v>
      </c>
      <c r="G4" s="24">
        <v>180</v>
      </c>
      <c r="H4" s="25">
        <v>310</v>
      </c>
      <c r="I4" s="46">
        <f>G:G*H:H</f>
        <v>55800</v>
      </c>
      <c r="J4" s="47">
        <v>9000</v>
      </c>
      <c r="K4" s="20">
        <v>310.4</v>
      </c>
      <c r="L4" s="21">
        <v>1.121</v>
      </c>
      <c r="M4" s="21"/>
      <c r="N4" s="21" t="s">
        <v>25</v>
      </c>
      <c r="O4" s="48"/>
    </row>
    <row r="5" ht="17.25" spans="1:15">
      <c r="A5" s="18"/>
      <c r="B5" s="19" t="s">
        <v>21</v>
      </c>
      <c r="C5" s="20" t="s">
        <v>26</v>
      </c>
      <c r="D5" s="21" t="s">
        <v>27</v>
      </c>
      <c r="E5" s="22">
        <v>1</v>
      </c>
      <c r="F5" s="23" t="s">
        <v>28</v>
      </c>
      <c r="G5" s="24">
        <v>164</v>
      </c>
      <c r="H5" s="25"/>
      <c r="I5" s="46">
        <v>6508</v>
      </c>
      <c r="J5" s="47">
        <v>1050</v>
      </c>
      <c r="K5" s="20">
        <v>67</v>
      </c>
      <c r="L5" s="21">
        <v>0.285</v>
      </c>
      <c r="M5" s="21" t="s">
        <v>29</v>
      </c>
      <c r="N5" s="21"/>
      <c r="O5" s="48"/>
    </row>
    <row r="6" ht="17.25" spans="1:15">
      <c r="A6" s="26"/>
      <c r="B6" s="19" t="s">
        <v>21</v>
      </c>
      <c r="C6" s="27" t="s">
        <v>30</v>
      </c>
      <c r="D6" s="28" t="s">
        <v>27</v>
      </c>
      <c r="E6" s="29">
        <v>1</v>
      </c>
      <c r="F6" s="30" t="s">
        <v>31</v>
      </c>
      <c r="G6" s="24">
        <v>242</v>
      </c>
      <c r="H6" s="25"/>
      <c r="I6" s="46">
        <v>7440</v>
      </c>
      <c r="J6" s="47">
        <v>1200</v>
      </c>
      <c r="K6" s="27">
        <v>132</v>
      </c>
      <c r="L6" s="28">
        <v>0.538</v>
      </c>
      <c r="M6" s="28" t="s">
        <v>29</v>
      </c>
      <c r="N6" s="28"/>
      <c r="O6" s="48"/>
    </row>
    <row r="7" ht="17.25" spans="1:15">
      <c r="A7" s="26"/>
      <c r="B7" s="19" t="s">
        <v>21</v>
      </c>
      <c r="C7" s="31" t="s">
        <v>32</v>
      </c>
      <c r="D7" s="32" t="s">
        <v>27</v>
      </c>
      <c r="E7" s="33">
        <v>1</v>
      </c>
      <c r="F7" s="32" t="s">
        <v>31</v>
      </c>
      <c r="G7" s="34">
        <v>174</v>
      </c>
      <c r="H7" s="35"/>
      <c r="I7" s="49">
        <v>4000</v>
      </c>
      <c r="J7" s="47">
        <v>645</v>
      </c>
      <c r="K7" s="31">
        <v>79.6</v>
      </c>
      <c r="L7" s="32">
        <v>0.395</v>
      </c>
      <c r="M7" s="32" t="s">
        <v>29</v>
      </c>
      <c r="N7" s="32"/>
      <c r="O7" s="48"/>
    </row>
    <row r="8" ht="17.25" spans="1:15">
      <c r="A8" s="26"/>
      <c r="B8" s="19" t="s">
        <v>21</v>
      </c>
      <c r="C8" s="31" t="s">
        <v>33</v>
      </c>
      <c r="D8" s="32" t="s">
        <v>27</v>
      </c>
      <c r="E8" s="33">
        <v>1</v>
      </c>
      <c r="F8" s="32" t="s">
        <v>34</v>
      </c>
      <c r="G8" s="36" t="s">
        <v>35</v>
      </c>
      <c r="H8" s="37"/>
      <c r="I8" s="38">
        <v>5000</v>
      </c>
      <c r="J8" s="47">
        <v>806</v>
      </c>
      <c r="K8" s="31">
        <v>23</v>
      </c>
      <c r="L8" s="32">
        <v>0.08</v>
      </c>
      <c r="M8" s="32" t="s">
        <v>29</v>
      </c>
      <c r="N8" s="32"/>
      <c r="O8" s="48"/>
    </row>
    <row r="9" ht="17.25" spans="1:15">
      <c r="A9" s="26"/>
      <c r="B9" s="19" t="s">
        <v>21</v>
      </c>
      <c r="C9" s="31" t="s">
        <v>36</v>
      </c>
      <c r="D9" s="32" t="s">
        <v>23</v>
      </c>
      <c r="E9" s="33">
        <v>3</v>
      </c>
      <c r="F9" s="32" t="s">
        <v>37</v>
      </c>
      <c r="G9" s="36">
        <v>50</v>
      </c>
      <c r="H9" s="37">
        <v>240</v>
      </c>
      <c r="I9" s="46">
        <f>G:G*H:H</f>
        <v>12000</v>
      </c>
      <c r="J9" s="47">
        <v>1935</v>
      </c>
      <c r="K9" s="31">
        <v>167.5</v>
      </c>
      <c r="L9" s="32">
        <v>1.148</v>
      </c>
      <c r="M9" s="32"/>
      <c r="N9" s="32" t="s">
        <v>38</v>
      </c>
      <c r="O9" s="48"/>
    </row>
    <row r="10" ht="17.25" spans="1:15">
      <c r="A10" s="26"/>
      <c r="B10" s="19" t="s">
        <v>21</v>
      </c>
      <c r="C10" s="31"/>
      <c r="D10" s="32"/>
      <c r="E10" s="33"/>
      <c r="F10" s="32" t="s">
        <v>37</v>
      </c>
      <c r="G10" s="36">
        <v>50</v>
      </c>
      <c r="H10" s="37">
        <v>240</v>
      </c>
      <c r="I10" s="46">
        <f>G:G*H:H</f>
        <v>12000</v>
      </c>
      <c r="J10" s="47">
        <v>1935</v>
      </c>
      <c r="K10" s="31"/>
      <c r="L10" s="32"/>
      <c r="M10" s="32"/>
      <c r="N10" s="32"/>
      <c r="O10" s="48"/>
    </row>
    <row r="11" ht="17.25" spans="1:15">
      <c r="A11" s="26"/>
      <c r="B11" s="19" t="s">
        <v>21</v>
      </c>
      <c r="C11" s="31" t="s">
        <v>39</v>
      </c>
      <c r="D11" s="32" t="s">
        <v>23</v>
      </c>
      <c r="E11" s="33">
        <v>1</v>
      </c>
      <c r="F11" s="32" t="s">
        <v>40</v>
      </c>
      <c r="G11" s="36">
        <v>42</v>
      </c>
      <c r="H11" s="37">
        <v>133</v>
      </c>
      <c r="I11" s="46">
        <f>G:G*H:H</f>
        <v>5586</v>
      </c>
      <c r="J11" s="47">
        <v>901</v>
      </c>
      <c r="K11" s="31">
        <v>48.5</v>
      </c>
      <c r="L11" s="32">
        <v>0.328</v>
      </c>
      <c r="M11" s="32" t="s">
        <v>41</v>
      </c>
      <c r="N11" s="32"/>
      <c r="O11" s="48"/>
    </row>
    <row r="12" ht="17.25" spans="1:15">
      <c r="A12" s="26"/>
      <c r="B12" s="19" t="s">
        <v>21</v>
      </c>
      <c r="C12" s="31" t="s">
        <v>42</v>
      </c>
      <c r="D12" s="32" t="s">
        <v>27</v>
      </c>
      <c r="E12" s="33">
        <v>1</v>
      </c>
      <c r="F12" s="32" t="s">
        <v>43</v>
      </c>
      <c r="G12" s="36">
        <v>132</v>
      </c>
      <c r="H12" s="37"/>
      <c r="I12" s="38">
        <v>5164</v>
      </c>
      <c r="J12" s="47">
        <v>833</v>
      </c>
      <c r="K12" s="31">
        <v>63.6</v>
      </c>
      <c r="L12" s="32">
        <v>0.338</v>
      </c>
      <c r="M12" s="32" t="s">
        <v>29</v>
      </c>
      <c r="N12" s="32"/>
      <c r="O12" s="48"/>
    </row>
    <row r="13" ht="17.25" spans="1:15">
      <c r="A13" s="26"/>
      <c r="B13" s="19" t="s">
        <v>21</v>
      </c>
      <c r="C13" s="31" t="s">
        <v>44</v>
      </c>
      <c r="D13" s="32" t="s">
        <v>27</v>
      </c>
      <c r="E13" s="33"/>
      <c r="F13" s="32" t="s">
        <v>45</v>
      </c>
      <c r="G13" s="36">
        <v>6</v>
      </c>
      <c r="H13" s="37"/>
      <c r="I13" s="38">
        <v>2000</v>
      </c>
      <c r="J13" s="47">
        <v>323</v>
      </c>
      <c r="K13" s="31"/>
      <c r="L13" s="32"/>
      <c r="M13" s="32" t="s">
        <v>29</v>
      </c>
      <c r="N13" s="32"/>
      <c r="O13" s="48"/>
    </row>
    <row r="14" ht="33" spans="1:15">
      <c r="A14" s="26"/>
      <c r="B14" s="19" t="s">
        <v>21</v>
      </c>
      <c r="C14" s="31" t="s">
        <v>46</v>
      </c>
      <c r="D14" s="32" t="s">
        <v>23</v>
      </c>
      <c r="E14" s="33">
        <v>1</v>
      </c>
      <c r="F14" s="32" t="s">
        <v>47</v>
      </c>
      <c r="G14" s="36">
        <v>80</v>
      </c>
      <c r="H14" s="37"/>
      <c r="I14" s="38">
        <v>21000</v>
      </c>
      <c r="J14" s="47">
        <v>3387</v>
      </c>
      <c r="K14" s="31">
        <v>79.5</v>
      </c>
      <c r="L14" s="32">
        <v>0.29</v>
      </c>
      <c r="M14" s="32" t="s">
        <v>48</v>
      </c>
      <c r="N14" s="32"/>
      <c r="O14" s="48"/>
    </row>
    <row r="15" ht="33" spans="1:15">
      <c r="A15" s="26"/>
      <c r="B15" s="19" t="s">
        <v>21</v>
      </c>
      <c r="C15" s="31" t="s">
        <v>49</v>
      </c>
      <c r="D15" s="32" t="s">
        <v>23</v>
      </c>
      <c r="E15" s="33"/>
      <c r="F15" s="32" t="s">
        <v>50</v>
      </c>
      <c r="G15" s="36">
        <v>66</v>
      </c>
      <c r="H15" s="37"/>
      <c r="I15" s="38">
        <v>20000</v>
      </c>
      <c r="J15" s="47">
        <v>3226</v>
      </c>
      <c r="K15" s="31"/>
      <c r="L15" s="32"/>
      <c r="M15" s="32" t="s">
        <v>48</v>
      </c>
      <c r="N15" s="32"/>
      <c r="O15" s="48"/>
    </row>
    <row r="16" ht="17.25" spans="1:15">
      <c r="A16" s="26"/>
      <c r="B16" s="19" t="s">
        <v>21</v>
      </c>
      <c r="C16" s="31" t="s">
        <v>51</v>
      </c>
      <c r="D16" s="32" t="s">
        <v>23</v>
      </c>
      <c r="E16" s="33">
        <v>1</v>
      </c>
      <c r="F16" s="32" t="s">
        <v>52</v>
      </c>
      <c r="G16" s="36">
        <v>27</v>
      </c>
      <c r="H16" s="37"/>
      <c r="I16" s="50">
        <v>4000</v>
      </c>
      <c r="J16" s="51">
        <v>645</v>
      </c>
      <c r="K16" s="31">
        <v>81</v>
      </c>
      <c r="L16" s="32">
        <v>0.455</v>
      </c>
      <c r="M16" s="32" t="s">
        <v>53</v>
      </c>
      <c r="N16" s="52"/>
      <c r="O16" s="48"/>
    </row>
    <row r="17" ht="17.25" spans="1:15">
      <c r="A17" s="26"/>
      <c r="B17" s="19" t="s">
        <v>21</v>
      </c>
      <c r="C17" s="31"/>
      <c r="D17" s="32"/>
      <c r="E17" s="33"/>
      <c r="F17" s="32" t="s">
        <v>54</v>
      </c>
      <c r="G17" s="36">
        <v>40</v>
      </c>
      <c r="H17" s="37"/>
      <c r="I17" s="49"/>
      <c r="J17" s="53"/>
      <c r="K17" s="31"/>
      <c r="L17" s="32"/>
      <c r="M17" s="32" t="s">
        <v>53</v>
      </c>
      <c r="N17" s="52"/>
      <c r="O17" s="48"/>
    </row>
    <row r="18" ht="33" spans="1:15">
      <c r="A18" s="26"/>
      <c r="B18" s="19" t="s">
        <v>21</v>
      </c>
      <c r="C18" s="31" t="s">
        <v>55</v>
      </c>
      <c r="D18" s="32" t="s">
        <v>23</v>
      </c>
      <c r="E18" s="33"/>
      <c r="F18" s="32" t="s">
        <v>56</v>
      </c>
      <c r="G18" s="36">
        <v>39</v>
      </c>
      <c r="H18" s="37"/>
      <c r="I18" s="38">
        <v>11000</v>
      </c>
      <c r="J18" s="47">
        <v>1774</v>
      </c>
      <c r="K18" s="31"/>
      <c r="L18" s="32"/>
      <c r="M18" s="32" t="s">
        <v>48</v>
      </c>
      <c r="N18" s="52"/>
      <c r="O18" s="48"/>
    </row>
    <row r="19" ht="17.25" spans="1:15">
      <c r="A19" s="26"/>
      <c r="B19" s="19" t="s">
        <v>21</v>
      </c>
      <c r="C19" s="31" t="s">
        <v>51</v>
      </c>
      <c r="D19" s="32" t="s">
        <v>23</v>
      </c>
      <c r="E19" s="33"/>
      <c r="F19" s="32" t="s">
        <v>57</v>
      </c>
      <c r="G19" s="36">
        <v>10</v>
      </c>
      <c r="H19" s="37">
        <v>200</v>
      </c>
      <c r="I19" s="46">
        <f>G:G*H:H</f>
        <v>2000</v>
      </c>
      <c r="J19" s="47">
        <v>323</v>
      </c>
      <c r="K19" s="31"/>
      <c r="L19" s="32"/>
      <c r="M19" s="32" t="s">
        <v>58</v>
      </c>
      <c r="N19" s="32"/>
      <c r="O19" s="48"/>
    </row>
    <row r="20" ht="17.25" spans="1:15">
      <c r="A20" s="26"/>
      <c r="B20" s="19" t="s">
        <v>21</v>
      </c>
      <c r="C20" s="31" t="s">
        <v>51</v>
      </c>
      <c r="D20" s="32" t="s">
        <v>23</v>
      </c>
      <c r="E20" s="33"/>
      <c r="F20" s="32" t="s">
        <v>59</v>
      </c>
      <c r="G20" s="36">
        <v>5</v>
      </c>
      <c r="H20" s="38"/>
      <c r="I20" s="54">
        <v>1800</v>
      </c>
      <c r="J20" s="51">
        <v>290</v>
      </c>
      <c r="K20" s="31"/>
      <c r="L20" s="32"/>
      <c r="M20" s="32" t="s">
        <v>60</v>
      </c>
      <c r="N20" s="52"/>
      <c r="O20" s="48"/>
    </row>
    <row r="21" ht="49.5" spans="1:15">
      <c r="A21" s="26"/>
      <c r="B21" s="19" t="s">
        <v>21</v>
      </c>
      <c r="C21" s="31"/>
      <c r="D21" s="32"/>
      <c r="E21" s="33"/>
      <c r="F21" s="32" t="s">
        <v>59</v>
      </c>
      <c r="G21" s="36">
        <v>10</v>
      </c>
      <c r="H21" s="38"/>
      <c r="I21" s="55"/>
      <c r="J21" s="56"/>
      <c r="K21" s="31"/>
      <c r="L21" s="32"/>
      <c r="M21" s="32" t="s">
        <v>61</v>
      </c>
      <c r="N21" s="52"/>
      <c r="O21" s="48"/>
    </row>
    <row r="22" ht="49.5" spans="1:15">
      <c r="A22" s="26"/>
      <c r="B22" s="19" t="s">
        <v>21</v>
      </c>
      <c r="C22" s="31"/>
      <c r="D22" s="32"/>
      <c r="E22" s="33"/>
      <c r="F22" s="32" t="s">
        <v>59</v>
      </c>
      <c r="G22" s="36">
        <v>10</v>
      </c>
      <c r="H22" s="38"/>
      <c r="I22" s="57"/>
      <c r="J22" s="53"/>
      <c r="K22" s="31"/>
      <c r="L22" s="32"/>
      <c r="M22" s="32" t="s">
        <v>62</v>
      </c>
      <c r="N22" s="52"/>
      <c r="O22" s="48"/>
    </row>
    <row r="23" ht="33" spans="1:15">
      <c r="A23" s="26"/>
      <c r="B23" s="19" t="s">
        <v>21</v>
      </c>
      <c r="C23" s="31" t="s">
        <v>63</v>
      </c>
      <c r="D23" s="32" t="s">
        <v>23</v>
      </c>
      <c r="E23" s="33"/>
      <c r="F23" s="32" t="s">
        <v>64</v>
      </c>
      <c r="G23" s="36">
        <v>33</v>
      </c>
      <c r="H23" s="37">
        <v>300</v>
      </c>
      <c r="I23" s="46">
        <f>G:G*H:H</f>
        <v>9900</v>
      </c>
      <c r="J23" s="47">
        <v>1597</v>
      </c>
      <c r="K23" s="31"/>
      <c r="L23" s="32"/>
      <c r="M23" s="32" t="s">
        <v>48</v>
      </c>
      <c r="N23" s="52"/>
      <c r="O23" s="48"/>
    </row>
    <row r="24" ht="17.25" spans="1:15">
      <c r="A24" s="26"/>
      <c r="B24" s="19" t="s">
        <v>21</v>
      </c>
      <c r="C24" s="31" t="s">
        <v>65</v>
      </c>
      <c r="D24" s="32" t="s">
        <v>23</v>
      </c>
      <c r="E24" s="33">
        <v>1</v>
      </c>
      <c r="F24" s="32" t="s">
        <v>66</v>
      </c>
      <c r="G24" s="36">
        <v>55</v>
      </c>
      <c r="H24" s="37">
        <v>80</v>
      </c>
      <c r="I24" s="46">
        <f>G:G*H:H</f>
        <v>4400</v>
      </c>
      <c r="J24" s="47">
        <v>710</v>
      </c>
      <c r="K24" s="31">
        <v>79.5</v>
      </c>
      <c r="L24" s="32">
        <v>0.517</v>
      </c>
      <c r="M24" s="32" t="s">
        <v>67</v>
      </c>
      <c r="N24" s="32"/>
      <c r="O24" s="48"/>
    </row>
    <row r="25" ht="17.25" spans="1:15">
      <c r="A25" s="26"/>
      <c r="B25" s="19" t="s">
        <v>21</v>
      </c>
      <c r="C25" s="31" t="s">
        <v>68</v>
      </c>
      <c r="D25" s="32" t="s">
        <v>69</v>
      </c>
      <c r="E25" s="33"/>
      <c r="F25" s="32" t="s">
        <v>70</v>
      </c>
      <c r="G25" s="36">
        <v>12</v>
      </c>
      <c r="H25" s="37">
        <v>876</v>
      </c>
      <c r="I25" s="46">
        <f>G:G*H:H</f>
        <v>10512</v>
      </c>
      <c r="J25" s="47">
        <v>1695</v>
      </c>
      <c r="K25" s="31"/>
      <c r="L25" s="32"/>
      <c r="M25" s="32" t="s">
        <v>71</v>
      </c>
      <c r="N25" s="32"/>
      <c r="O25" s="48"/>
    </row>
    <row r="26" ht="17.25" spans="1:15">
      <c r="A26" s="26"/>
      <c r="B26" s="19" t="s">
        <v>21</v>
      </c>
      <c r="C26" s="31"/>
      <c r="D26" s="32"/>
      <c r="E26" s="33"/>
      <c r="F26" s="32" t="s">
        <v>72</v>
      </c>
      <c r="G26" s="36">
        <v>8</v>
      </c>
      <c r="H26" s="37">
        <v>876</v>
      </c>
      <c r="I26" s="46">
        <f>G:G*H:H</f>
        <v>7008</v>
      </c>
      <c r="J26" s="47">
        <v>1130</v>
      </c>
      <c r="K26" s="31"/>
      <c r="L26" s="32"/>
      <c r="M26" s="32" t="s">
        <v>71</v>
      </c>
      <c r="N26" s="32"/>
      <c r="O26" s="48"/>
    </row>
    <row r="27" ht="17.25" spans="1:15">
      <c r="A27" s="26"/>
      <c r="B27" s="19" t="s">
        <v>21</v>
      </c>
      <c r="C27" s="31"/>
      <c r="D27" s="32"/>
      <c r="E27" s="33"/>
      <c r="F27" s="32" t="s">
        <v>72</v>
      </c>
      <c r="G27" s="36">
        <v>12</v>
      </c>
      <c r="H27" s="37">
        <v>495</v>
      </c>
      <c r="I27" s="46">
        <f>G:G*H:H</f>
        <v>5940</v>
      </c>
      <c r="J27" s="47">
        <v>958</v>
      </c>
      <c r="K27" s="31"/>
      <c r="L27" s="32"/>
      <c r="M27" s="32" t="s">
        <v>71</v>
      </c>
      <c r="N27" s="32"/>
      <c r="O27" s="48"/>
    </row>
    <row r="28" ht="17.25" spans="1:15">
      <c r="A28" s="26"/>
      <c r="B28" s="19" t="s">
        <v>21</v>
      </c>
      <c r="C28" s="31"/>
      <c r="D28" s="32"/>
      <c r="E28" s="33"/>
      <c r="F28" s="32" t="s">
        <v>72</v>
      </c>
      <c r="G28" s="36">
        <v>6</v>
      </c>
      <c r="H28" s="37">
        <v>495</v>
      </c>
      <c r="I28" s="46">
        <f>G:G*H:H</f>
        <v>2970</v>
      </c>
      <c r="J28" s="47">
        <v>479</v>
      </c>
      <c r="K28" s="31"/>
      <c r="L28" s="32"/>
      <c r="M28" s="32" t="s">
        <v>71</v>
      </c>
      <c r="N28" s="32"/>
      <c r="O28" s="48"/>
    </row>
    <row r="29" ht="17.25" spans="1:15">
      <c r="A29" s="26"/>
      <c r="B29" s="19" t="s">
        <v>21</v>
      </c>
      <c r="C29" s="39" t="s">
        <v>73</v>
      </c>
      <c r="D29" s="40" t="s">
        <v>69</v>
      </c>
      <c r="E29" s="33">
        <v>1</v>
      </c>
      <c r="F29" s="32" t="s">
        <v>74</v>
      </c>
      <c r="G29" s="36">
        <v>8</v>
      </c>
      <c r="H29" s="37">
        <v>340</v>
      </c>
      <c r="I29" s="46">
        <f>G:G*H:H</f>
        <v>2720</v>
      </c>
      <c r="J29" s="47">
        <v>439</v>
      </c>
      <c r="K29" s="31">
        <v>22</v>
      </c>
      <c r="L29" s="32">
        <v>0.152</v>
      </c>
      <c r="M29" s="32" t="s">
        <v>29</v>
      </c>
      <c r="N29" s="32"/>
      <c r="O29" s="48"/>
    </row>
    <row r="30" ht="17.25" spans="1:15">
      <c r="A30" s="26"/>
      <c r="B30" s="19" t="s">
        <v>21</v>
      </c>
      <c r="C30" s="41"/>
      <c r="D30" s="42"/>
      <c r="E30" s="33"/>
      <c r="F30" s="32" t="s">
        <v>74</v>
      </c>
      <c r="G30" s="36">
        <v>1</v>
      </c>
      <c r="H30" s="37">
        <v>280</v>
      </c>
      <c r="I30" s="46">
        <f>G:G*H:H</f>
        <v>280</v>
      </c>
      <c r="J30" s="47">
        <v>45</v>
      </c>
      <c r="K30" s="31"/>
      <c r="L30" s="32"/>
      <c r="M30" s="32" t="s">
        <v>29</v>
      </c>
      <c r="N30" s="32"/>
      <c r="O30" s="48"/>
    </row>
    <row r="31" ht="17.25" spans="1:15">
      <c r="A31" s="26"/>
      <c r="B31" s="19" t="s">
        <v>21</v>
      </c>
      <c r="C31" s="41"/>
      <c r="D31" s="42"/>
      <c r="E31" s="33"/>
      <c r="F31" s="32" t="s">
        <v>74</v>
      </c>
      <c r="G31" s="36">
        <v>1</v>
      </c>
      <c r="H31" s="37">
        <v>300</v>
      </c>
      <c r="I31" s="46">
        <f>G:G*H:H</f>
        <v>300</v>
      </c>
      <c r="J31" s="47">
        <v>48</v>
      </c>
      <c r="K31" s="31"/>
      <c r="L31" s="32"/>
      <c r="M31" s="32" t="s">
        <v>29</v>
      </c>
      <c r="N31" s="32"/>
      <c r="O31" s="48"/>
    </row>
    <row r="32" ht="17.25" spans="1:15">
      <c r="A32" s="26"/>
      <c r="B32" s="19" t="s">
        <v>21</v>
      </c>
      <c r="C32" s="41"/>
      <c r="D32" s="42"/>
      <c r="E32" s="33"/>
      <c r="F32" s="32" t="s">
        <v>74</v>
      </c>
      <c r="G32" s="36">
        <v>1</v>
      </c>
      <c r="H32" s="37">
        <v>370</v>
      </c>
      <c r="I32" s="46">
        <f>G:G*H:H</f>
        <v>370</v>
      </c>
      <c r="J32" s="47">
        <v>60</v>
      </c>
      <c r="K32" s="31"/>
      <c r="L32" s="32"/>
      <c r="M32" s="32" t="s">
        <v>29</v>
      </c>
      <c r="N32" s="32"/>
      <c r="O32" s="48"/>
    </row>
    <row r="33" ht="17.25" spans="1:15">
      <c r="A33" s="26"/>
      <c r="B33" s="19" t="s">
        <v>21</v>
      </c>
      <c r="C33" s="41"/>
      <c r="D33" s="42"/>
      <c r="E33" s="33"/>
      <c r="F33" s="32" t="s">
        <v>74</v>
      </c>
      <c r="G33" s="36">
        <v>1</v>
      </c>
      <c r="H33" s="37">
        <v>310</v>
      </c>
      <c r="I33" s="46">
        <f>G:G*H:H</f>
        <v>310</v>
      </c>
      <c r="J33" s="47">
        <v>50</v>
      </c>
      <c r="K33" s="31"/>
      <c r="L33" s="32"/>
      <c r="M33" s="32" t="s">
        <v>29</v>
      </c>
      <c r="N33" s="32"/>
      <c r="O33" s="48"/>
    </row>
    <row r="34" ht="17.25" spans="1:15">
      <c r="A34" s="26"/>
      <c r="B34" s="19" t="s">
        <v>21</v>
      </c>
      <c r="C34" s="41"/>
      <c r="D34" s="42"/>
      <c r="E34" s="33"/>
      <c r="F34" s="32" t="s">
        <v>74</v>
      </c>
      <c r="G34" s="36">
        <v>1</v>
      </c>
      <c r="H34" s="37">
        <v>350</v>
      </c>
      <c r="I34" s="46">
        <f>G:G*H:H</f>
        <v>350</v>
      </c>
      <c r="J34" s="47">
        <v>56</v>
      </c>
      <c r="K34" s="31"/>
      <c r="L34" s="32"/>
      <c r="M34" s="32" t="s">
        <v>29</v>
      </c>
      <c r="N34" s="32"/>
      <c r="O34" s="48"/>
    </row>
    <row r="35" ht="17.25" spans="1:15">
      <c r="A35" s="26"/>
      <c r="B35" s="19" t="s">
        <v>21</v>
      </c>
      <c r="C35" s="41"/>
      <c r="D35" s="42"/>
      <c r="E35" s="33"/>
      <c r="F35" s="32" t="s">
        <v>74</v>
      </c>
      <c r="G35" s="36">
        <v>1</v>
      </c>
      <c r="H35" s="37">
        <v>350</v>
      </c>
      <c r="I35" s="46">
        <f>G:G*H:H</f>
        <v>350</v>
      </c>
      <c r="J35" s="47">
        <v>56</v>
      </c>
      <c r="K35" s="31"/>
      <c r="L35" s="32"/>
      <c r="M35" s="32" t="s">
        <v>29</v>
      </c>
      <c r="N35" s="32"/>
      <c r="O35" s="48"/>
    </row>
    <row r="36" ht="17.25" spans="1:15">
      <c r="A36" s="26"/>
      <c r="B36" s="19" t="s">
        <v>21</v>
      </c>
      <c r="C36" s="27"/>
      <c r="D36" s="28"/>
      <c r="E36" s="33"/>
      <c r="F36" s="32" t="s">
        <v>75</v>
      </c>
      <c r="G36" s="36">
        <v>1</v>
      </c>
      <c r="H36" s="37">
        <v>250</v>
      </c>
      <c r="I36" s="46">
        <f>G:G*H:H</f>
        <v>250</v>
      </c>
      <c r="J36" s="47">
        <v>40</v>
      </c>
      <c r="K36" s="31"/>
      <c r="L36" s="32"/>
      <c r="M36" s="32"/>
      <c r="N36" s="32"/>
      <c r="O36" s="48"/>
    </row>
  </sheetData>
  <mergeCells count="43">
    <mergeCell ref="D1:N1"/>
    <mergeCell ref="C2:D2"/>
    <mergeCell ref="E2:F2"/>
    <mergeCell ref="G2:H2"/>
    <mergeCell ref="I2:J2"/>
    <mergeCell ref="K2:L2"/>
    <mergeCell ref="C9:C10"/>
    <mergeCell ref="C16:C17"/>
    <mergeCell ref="C20:C22"/>
    <mergeCell ref="C25:C28"/>
    <mergeCell ref="C29:C36"/>
    <mergeCell ref="D9:D10"/>
    <mergeCell ref="D16:D17"/>
    <mergeCell ref="D20:D22"/>
    <mergeCell ref="D25:D28"/>
    <mergeCell ref="D29:D36"/>
    <mergeCell ref="E9:E10"/>
    <mergeCell ref="E12:E13"/>
    <mergeCell ref="E14:E15"/>
    <mergeCell ref="E16:E23"/>
    <mergeCell ref="E24:E28"/>
    <mergeCell ref="E29:E36"/>
    <mergeCell ref="I16:I17"/>
    <mergeCell ref="I20:I22"/>
    <mergeCell ref="J16:J17"/>
    <mergeCell ref="J20:J22"/>
    <mergeCell ref="K9:K10"/>
    <mergeCell ref="K12:K13"/>
    <mergeCell ref="K14:K15"/>
    <mergeCell ref="K16:K23"/>
    <mergeCell ref="K24:K28"/>
    <mergeCell ref="K29:K36"/>
    <mergeCell ref="L9:L10"/>
    <mergeCell ref="L12:L13"/>
    <mergeCell ref="L14:L15"/>
    <mergeCell ref="L16:L23"/>
    <mergeCell ref="L24:L28"/>
    <mergeCell ref="L29:L36"/>
    <mergeCell ref="N9:N10"/>
    <mergeCell ref="N12:N13"/>
    <mergeCell ref="N14:N15"/>
    <mergeCell ref="N24:N28"/>
    <mergeCell ref="N29:N36"/>
  </mergeCells>
  <printOptions verticalCentered="1"/>
  <pageMargins left="0.118055555555556" right="0.118055555555556" top="0.118055555555556" bottom="0.118055555555556" header="0.3" footer="0.3"/>
  <pageSetup paperSize="9" scale="8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京258库飞机-第153单-2015-10-13-16包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</dc:creator>
  <cp:lastModifiedBy>username</cp:lastModifiedBy>
  <dcterms:created xsi:type="dcterms:W3CDTF">2011-12-31T06:39:00Z</dcterms:created>
  <dcterms:modified xsi:type="dcterms:W3CDTF">2015-10-13T17:19:39Z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2052-9.1.0.5218</vt:lpwstr>
  </property>
</Properties>
</file>