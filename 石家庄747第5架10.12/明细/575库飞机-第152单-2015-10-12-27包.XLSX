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240"/>
  </bookViews>
  <sheets>
    <sheet name="京258库飞机-第152单-2015-10-12-27包" sheetId="1" r:id="rId1"/>
  </sheets>
  <calcPr calcId="124519"/>
</workbook>
</file>

<file path=xl/calcChain.xml><?xml version="1.0" encoding="utf-8"?>
<calcChain xmlns="http://schemas.openxmlformats.org/spreadsheetml/2006/main">
  <c r="D46" i="1"/>
  <c r="E46"/>
  <c r="F46"/>
  <c r="H43"/>
  <c r="H42"/>
  <c r="H41"/>
  <c r="H31"/>
  <c r="H28"/>
  <c r="H27"/>
  <c r="H26"/>
  <c r="H25"/>
  <c r="H24"/>
  <c r="H23"/>
  <c r="H22"/>
  <c r="H21"/>
  <c r="H20"/>
  <c r="H19"/>
  <c r="H13"/>
  <c r="H12"/>
  <c r="H11"/>
  <c r="H10"/>
  <c r="H9"/>
  <c r="H8"/>
  <c r="H7"/>
  <c r="H6"/>
  <c r="H5"/>
  <c r="H4"/>
</calcChain>
</file>

<file path=xl/sharedStrings.xml><?xml version="1.0" encoding="utf-8"?>
<sst xmlns="http://schemas.openxmlformats.org/spreadsheetml/2006/main" count="192" uniqueCount="88">
  <si>
    <t>京258库飞机-第152单-2015-10-12-27包</t>
  </si>
  <si>
    <t>出库单位：258库飞机</t>
  </si>
  <si>
    <t>日期：2015-10-12</t>
  </si>
  <si>
    <t>总包数：27</t>
  </si>
  <si>
    <t>总数量：2092</t>
  </si>
  <si>
    <t>总体积：10.845</t>
  </si>
  <si>
    <t>货主</t>
  </si>
  <si>
    <t>入库日期</t>
  </si>
  <si>
    <t>包数</t>
  </si>
  <si>
    <t>品名</t>
  </si>
  <si>
    <t>件数</t>
  </si>
  <si>
    <t>单价</t>
  </si>
  <si>
    <t>总货值</t>
  </si>
  <si>
    <t>公斤数</t>
  </si>
  <si>
    <t>立方数</t>
  </si>
  <si>
    <t>品牌</t>
  </si>
  <si>
    <t>备注</t>
  </si>
  <si>
    <t>GMS11097</t>
  </si>
  <si>
    <t>2015-10-10</t>
  </si>
  <si>
    <t>杂服32.4kg</t>
  </si>
  <si>
    <t>K</t>
  </si>
  <si>
    <t>GMS6818</t>
  </si>
  <si>
    <t>棉服48.8kg</t>
  </si>
  <si>
    <t>GMS11090</t>
  </si>
  <si>
    <t>棉服21kg</t>
  </si>
  <si>
    <t>GMS12310</t>
  </si>
  <si>
    <t>棉服</t>
  </si>
  <si>
    <t>1）63.4kg 2）56kg 3）65kg 4）75.8kg</t>
  </si>
  <si>
    <t>GMS7035</t>
  </si>
  <si>
    <t>男运动上衣</t>
  </si>
  <si>
    <t>1）50.6kg 2）46kg 3）52.4kg</t>
  </si>
  <si>
    <t>GMS0759</t>
  </si>
  <si>
    <t>杂服</t>
  </si>
  <si>
    <t>GML6906</t>
  </si>
  <si>
    <t>GMS11093</t>
  </si>
  <si>
    <t>GMT0814</t>
  </si>
  <si>
    <t>MS6617</t>
  </si>
  <si>
    <t>2015-10-12</t>
  </si>
  <si>
    <t>男童棉服</t>
  </si>
  <si>
    <t>LEBO</t>
  </si>
  <si>
    <t>2015-10-11</t>
  </si>
  <si>
    <t>女童棉服</t>
  </si>
  <si>
    <t>MERUO</t>
  </si>
  <si>
    <t>MS0084</t>
  </si>
  <si>
    <t>女羽绒服</t>
  </si>
  <si>
    <t>CHANEVIA</t>
  </si>
  <si>
    <t>MS12497</t>
  </si>
  <si>
    <t>女裤</t>
  </si>
  <si>
    <t>ALEXANDRINA</t>
  </si>
  <si>
    <t>MT2828A</t>
  </si>
  <si>
    <t>女棉服</t>
  </si>
  <si>
    <t>鑫雪辰</t>
  </si>
  <si>
    <t>1）54.5kg-45件 2）60.5kg-50件</t>
  </si>
  <si>
    <t>WHL</t>
  </si>
  <si>
    <t>1）81.5kg-105件 2）60.5kg-60件 3）74kg-60件</t>
  </si>
  <si>
    <t>女马甲</t>
  </si>
  <si>
    <t>SHUYIYAGE</t>
  </si>
  <si>
    <t>MT12619</t>
  </si>
  <si>
    <t>K (FERRARI</t>
  </si>
  <si>
    <t>H8918</t>
  </si>
  <si>
    <t>WEITRAL</t>
  </si>
  <si>
    <t>女大衣</t>
  </si>
  <si>
    <t>MT12645</t>
  </si>
  <si>
    <t>VERSACE  杂</t>
  </si>
  <si>
    <t>1）74.5kg-79件 2）83kg-75件</t>
  </si>
  <si>
    <t>MS12310</t>
  </si>
  <si>
    <t>uls</t>
  </si>
  <si>
    <t>MS11090</t>
  </si>
  <si>
    <t>女棉服28kg</t>
  </si>
  <si>
    <t>ML6335</t>
  </si>
  <si>
    <t>男棉服42.5kg</t>
  </si>
  <si>
    <t>TIGERFORCE</t>
  </si>
  <si>
    <t>MS6915</t>
  </si>
  <si>
    <t>男皮鞋14kg</t>
  </si>
  <si>
    <t>BALDININI</t>
  </si>
  <si>
    <t>男皮包</t>
  </si>
  <si>
    <t>MS12608</t>
  </si>
  <si>
    <t>女童革靴12.5kg</t>
  </si>
  <si>
    <t>GARSTUK</t>
  </si>
  <si>
    <t>衣服、包18.8kg</t>
    <phoneticPr fontId="1" type="noConversion"/>
  </si>
  <si>
    <t>服装60.8kg</t>
    <phoneticPr fontId="1" type="noConversion"/>
  </si>
  <si>
    <t>总货值$</t>
    <phoneticPr fontId="1" type="noConversion"/>
  </si>
  <si>
    <t>H</t>
    <phoneticPr fontId="1" type="noConversion"/>
  </si>
  <si>
    <t>M</t>
    <phoneticPr fontId="1" type="noConversion"/>
  </si>
  <si>
    <t>246187元=39708$</t>
    <phoneticPr fontId="1" type="noConversion"/>
  </si>
  <si>
    <t>城市</t>
    <phoneticPr fontId="1" type="noConversion"/>
  </si>
  <si>
    <t>莫斯科</t>
    <phoneticPr fontId="1" type="noConversion"/>
  </si>
  <si>
    <t>1）42.5kg-28件 2）39kg-26件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</si>
</sst>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&quot;￥&quot;#,##0;[Red]&quot;￥&quot;#,##0"/>
  </numFmts>
  <fonts count="11">
    <font>
      <sz val="11"/>
      <color theme="1"/>
      <name val="宋体"/>
      <family val="2"/>
      <charset val="134"/>
      <scheme val="minor"/>
    </font>
    <font>
      <b/>
      <sz val="18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宋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>
      <selection activeCell="M11" sqref="M11:M13"/>
    </sheetView>
  </sheetViews>
  <sheetFormatPr defaultRowHeight="13.5"/>
  <cols>
    <col min="1" max="1" width="10.125" customWidth="1"/>
    <col min="2" max="2" width="9.75" customWidth="1"/>
    <col min="3" max="3" width="11.125" customWidth="1"/>
    <col min="4" max="4" width="6.25" customWidth="1"/>
    <col min="5" max="5" width="12.75" customWidth="1"/>
    <col min="6" max="6" width="8.375" customWidth="1"/>
    <col min="7" max="7" width="8.875" customWidth="1"/>
    <col min="8" max="9" width="10" customWidth="1"/>
    <col min="10" max="10" width="7.25" customWidth="1"/>
    <col min="11" max="11" width="6.875" customWidth="1"/>
    <col min="12" max="12" width="9.5" customWidth="1"/>
    <col min="13" max="13" width="27.625" customWidth="1"/>
  </cols>
  <sheetData>
    <row r="1" spans="1:13" ht="26.25" customHeight="1">
      <c r="A1" s="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6.25" customHeight="1">
      <c r="A2" s="2"/>
      <c r="B2" s="24" t="s">
        <v>1</v>
      </c>
      <c r="C2" s="26"/>
      <c r="D2" s="24" t="s">
        <v>2</v>
      </c>
      <c r="E2" s="25"/>
      <c r="F2" s="24" t="s">
        <v>3</v>
      </c>
      <c r="G2" s="26"/>
      <c r="H2" s="14" t="s">
        <v>84</v>
      </c>
      <c r="I2" s="15"/>
      <c r="J2" s="14" t="s">
        <v>4</v>
      </c>
      <c r="K2" s="23"/>
      <c r="L2" s="15"/>
      <c r="M2" s="6" t="s">
        <v>5</v>
      </c>
    </row>
    <row r="3" spans="1:13" ht="25.5" customHeight="1">
      <c r="A3" s="4" t="s">
        <v>85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81</v>
      </c>
      <c r="J3" s="5" t="s">
        <v>13</v>
      </c>
      <c r="K3" s="5" t="s">
        <v>14</v>
      </c>
      <c r="L3" s="5" t="s">
        <v>15</v>
      </c>
      <c r="M3" s="5" t="s">
        <v>16</v>
      </c>
    </row>
    <row r="4" spans="1:13" ht="26.25" customHeight="1">
      <c r="A4" s="3" t="s">
        <v>86</v>
      </c>
      <c r="B4" s="18" t="s">
        <v>59</v>
      </c>
      <c r="C4" s="18" t="s">
        <v>37</v>
      </c>
      <c r="D4" s="17">
        <v>2</v>
      </c>
      <c r="E4" s="7" t="s">
        <v>50</v>
      </c>
      <c r="F4" s="8">
        <v>7</v>
      </c>
      <c r="G4" s="10">
        <v>1310</v>
      </c>
      <c r="H4" s="10">
        <f>F4*G4</f>
        <v>9170</v>
      </c>
      <c r="I4" s="7">
        <v>1479</v>
      </c>
      <c r="J4" s="18">
        <v>81.5</v>
      </c>
      <c r="K4" s="18">
        <v>0.62</v>
      </c>
      <c r="L4" s="7" t="s">
        <v>60</v>
      </c>
      <c r="M4" s="18" t="s">
        <v>87</v>
      </c>
    </row>
    <row r="5" spans="1:13" ht="26.25" customHeight="1">
      <c r="A5" s="3" t="s">
        <v>86</v>
      </c>
      <c r="B5" s="18"/>
      <c r="C5" s="18"/>
      <c r="D5" s="17"/>
      <c r="E5" s="7" t="s">
        <v>50</v>
      </c>
      <c r="F5" s="8">
        <v>7</v>
      </c>
      <c r="G5" s="10">
        <v>995</v>
      </c>
      <c r="H5" s="10">
        <f t="shared" ref="H5:H13" si="0">F5*G5</f>
        <v>6965</v>
      </c>
      <c r="I5" s="7">
        <v>1123</v>
      </c>
      <c r="J5" s="18"/>
      <c r="K5" s="18"/>
      <c r="L5" s="7" t="s">
        <v>60</v>
      </c>
      <c r="M5" s="18"/>
    </row>
    <row r="6" spans="1:13" ht="26.25" customHeight="1">
      <c r="A6" s="3" t="s">
        <v>86</v>
      </c>
      <c r="B6" s="18"/>
      <c r="C6" s="18"/>
      <c r="D6" s="17"/>
      <c r="E6" s="7" t="s">
        <v>50</v>
      </c>
      <c r="F6" s="8">
        <v>7</v>
      </c>
      <c r="G6" s="10">
        <v>1203</v>
      </c>
      <c r="H6" s="10">
        <f t="shared" si="0"/>
        <v>8421</v>
      </c>
      <c r="I6" s="7">
        <v>1358</v>
      </c>
      <c r="J6" s="18"/>
      <c r="K6" s="18"/>
      <c r="L6" s="7" t="s">
        <v>60</v>
      </c>
      <c r="M6" s="18"/>
    </row>
    <row r="7" spans="1:13" ht="26.25" customHeight="1">
      <c r="A7" s="3" t="s">
        <v>86</v>
      </c>
      <c r="B7" s="18"/>
      <c r="C7" s="18"/>
      <c r="D7" s="17"/>
      <c r="E7" s="7" t="s">
        <v>50</v>
      </c>
      <c r="F7" s="8">
        <v>7</v>
      </c>
      <c r="G7" s="10">
        <v>1089</v>
      </c>
      <c r="H7" s="10">
        <f t="shared" si="0"/>
        <v>7623</v>
      </c>
      <c r="I7" s="7">
        <v>1230</v>
      </c>
      <c r="J7" s="18"/>
      <c r="K7" s="18"/>
      <c r="L7" s="7" t="s">
        <v>60</v>
      </c>
      <c r="M7" s="18"/>
    </row>
    <row r="8" spans="1:13" ht="26.25" customHeight="1">
      <c r="A8" s="3" t="s">
        <v>86</v>
      </c>
      <c r="B8" s="18"/>
      <c r="C8" s="18"/>
      <c r="D8" s="17"/>
      <c r="E8" s="7" t="s">
        <v>50</v>
      </c>
      <c r="F8" s="8">
        <v>7</v>
      </c>
      <c r="G8" s="10">
        <v>1228</v>
      </c>
      <c r="H8" s="10">
        <f t="shared" si="0"/>
        <v>8596</v>
      </c>
      <c r="I8" s="7">
        <v>1386</v>
      </c>
      <c r="J8" s="18"/>
      <c r="K8" s="18"/>
      <c r="L8" s="7" t="s">
        <v>60</v>
      </c>
      <c r="M8" s="18"/>
    </row>
    <row r="9" spans="1:13" ht="26.25" customHeight="1">
      <c r="A9" s="3" t="s">
        <v>86</v>
      </c>
      <c r="B9" s="18"/>
      <c r="C9" s="18"/>
      <c r="D9" s="17"/>
      <c r="E9" s="7" t="s">
        <v>50</v>
      </c>
      <c r="F9" s="8">
        <v>14</v>
      </c>
      <c r="G9" s="10">
        <v>938</v>
      </c>
      <c r="H9" s="10">
        <f t="shared" si="0"/>
        <v>13132</v>
      </c>
      <c r="I9" s="7">
        <v>2118</v>
      </c>
      <c r="J9" s="18"/>
      <c r="K9" s="18"/>
      <c r="L9" s="7" t="s">
        <v>60</v>
      </c>
      <c r="M9" s="18"/>
    </row>
    <row r="10" spans="1:13" ht="26.25" customHeight="1">
      <c r="A10" s="3" t="s">
        <v>86</v>
      </c>
      <c r="B10" s="18"/>
      <c r="C10" s="18"/>
      <c r="D10" s="17"/>
      <c r="E10" s="7" t="s">
        <v>61</v>
      </c>
      <c r="F10" s="8">
        <v>5</v>
      </c>
      <c r="G10" s="10">
        <v>1474</v>
      </c>
      <c r="H10" s="10">
        <f t="shared" si="0"/>
        <v>7370</v>
      </c>
      <c r="I10" s="7">
        <v>1189</v>
      </c>
      <c r="J10" s="18"/>
      <c r="K10" s="18"/>
      <c r="L10" s="7" t="s">
        <v>60</v>
      </c>
      <c r="M10" s="18"/>
    </row>
    <row r="11" spans="1:13" ht="26.25" customHeight="1">
      <c r="A11" s="3" t="s">
        <v>86</v>
      </c>
      <c r="B11" s="12" t="s">
        <v>36</v>
      </c>
      <c r="C11" s="12" t="s">
        <v>37</v>
      </c>
      <c r="D11" s="17">
        <v>1</v>
      </c>
      <c r="E11" s="7" t="s">
        <v>38</v>
      </c>
      <c r="F11" s="8">
        <v>20</v>
      </c>
      <c r="G11" s="10">
        <v>140</v>
      </c>
      <c r="H11" s="10">
        <f t="shared" si="0"/>
        <v>2800</v>
      </c>
      <c r="I11" s="7">
        <v>452</v>
      </c>
      <c r="J11" s="18">
        <v>68.5</v>
      </c>
      <c r="K11" s="18">
        <v>0.61899999999999999</v>
      </c>
      <c r="L11" s="7" t="s">
        <v>39</v>
      </c>
      <c r="M11" s="18"/>
    </row>
    <row r="12" spans="1:13" ht="26.25" customHeight="1">
      <c r="A12" s="3" t="s">
        <v>86</v>
      </c>
      <c r="B12" s="16"/>
      <c r="C12" s="16"/>
      <c r="D12" s="17"/>
      <c r="E12" s="7" t="s">
        <v>41</v>
      </c>
      <c r="F12" s="8">
        <v>20</v>
      </c>
      <c r="G12" s="10">
        <v>150</v>
      </c>
      <c r="H12" s="10">
        <f t="shared" si="0"/>
        <v>3000</v>
      </c>
      <c r="I12" s="7">
        <v>484</v>
      </c>
      <c r="J12" s="18"/>
      <c r="K12" s="18"/>
      <c r="L12" s="7" t="s">
        <v>39</v>
      </c>
      <c r="M12" s="18"/>
    </row>
    <row r="13" spans="1:13" ht="26.25" customHeight="1">
      <c r="A13" s="3" t="s">
        <v>86</v>
      </c>
      <c r="B13" s="13"/>
      <c r="C13" s="13"/>
      <c r="D13" s="17"/>
      <c r="E13" s="7" t="s">
        <v>41</v>
      </c>
      <c r="F13" s="8">
        <v>20</v>
      </c>
      <c r="G13" s="10">
        <v>130</v>
      </c>
      <c r="H13" s="10">
        <f t="shared" si="0"/>
        <v>2600</v>
      </c>
      <c r="I13" s="7">
        <v>419</v>
      </c>
      <c r="J13" s="18"/>
      <c r="K13" s="18"/>
      <c r="L13" s="7" t="s">
        <v>42</v>
      </c>
      <c r="M13" s="18"/>
    </row>
    <row r="14" spans="1:13" ht="26.25" customHeight="1">
      <c r="A14" s="3" t="s">
        <v>86</v>
      </c>
      <c r="B14" s="18" t="s">
        <v>43</v>
      </c>
      <c r="C14" s="18" t="s">
        <v>37</v>
      </c>
      <c r="D14" s="17">
        <v>1</v>
      </c>
      <c r="E14" s="7" t="s">
        <v>44</v>
      </c>
      <c r="F14" s="8">
        <v>8</v>
      </c>
      <c r="G14" s="10"/>
      <c r="H14" s="19">
        <v>25440</v>
      </c>
      <c r="I14" s="12">
        <v>4103</v>
      </c>
      <c r="J14" s="18">
        <v>56</v>
      </c>
      <c r="K14" s="18">
        <v>0.51200000000000001</v>
      </c>
      <c r="L14" s="7" t="s">
        <v>45</v>
      </c>
      <c r="M14" s="18"/>
    </row>
    <row r="15" spans="1:13" ht="26.25" customHeight="1">
      <c r="A15" s="3" t="s">
        <v>86</v>
      </c>
      <c r="B15" s="18"/>
      <c r="C15" s="18"/>
      <c r="D15" s="17"/>
      <c r="E15" s="7" t="s">
        <v>44</v>
      </c>
      <c r="F15" s="8">
        <v>16</v>
      </c>
      <c r="G15" s="10"/>
      <c r="H15" s="20"/>
      <c r="I15" s="16"/>
      <c r="J15" s="18"/>
      <c r="K15" s="18"/>
      <c r="L15" s="7" t="s">
        <v>45</v>
      </c>
      <c r="M15" s="18"/>
    </row>
    <row r="16" spans="1:13" ht="26.25" customHeight="1">
      <c r="A16" s="3" t="s">
        <v>86</v>
      </c>
      <c r="B16" s="18"/>
      <c r="C16" s="18"/>
      <c r="D16" s="17"/>
      <c r="E16" s="7" t="s">
        <v>44</v>
      </c>
      <c r="F16" s="8">
        <v>12</v>
      </c>
      <c r="G16" s="10"/>
      <c r="H16" s="20"/>
      <c r="I16" s="16"/>
      <c r="J16" s="18"/>
      <c r="K16" s="18"/>
      <c r="L16" s="7" t="s">
        <v>45</v>
      </c>
      <c r="M16" s="18"/>
    </row>
    <row r="17" spans="1:13" ht="26.25" customHeight="1">
      <c r="A17" s="3" t="s">
        <v>86</v>
      </c>
      <c r="B17" s="18"/>
      <c r="C17" s="18"/>
      <c r="D17" s="17"/>
      <c r="E17" s="7" t="s">
        <v>44</v>
      </c>
      <c r="F17" s="8">
        <v>4</v>
      </c>
      <c r="G17" s="10"/>
      <c r="H17" s="20"/>
      <c r="I17" s="16"/>
      <c r="J17" s="18"/>
      <c r="K17" s="18"/>
      <c r="L17" s="7" t="s">
        <v>45</v>
      </c>
      <c r="M17" s="18"/>
    </row>
    <row r="18" spans="1:13" ht="26.25" customHeight="1">
      <c r="A18" s="3" t="s">
        <v>86</v>
      </c>
      <c r="B18" s="18"/>
      <c r="C18" s="18"/>
      <c r="D18" s="17"/>
      <c r="E18" s="7" t="s">
        <v>44</v>
      </c>
      <c r="F18" s="8">
        <v>8</v>
      </c>
      <c r="G18" s="10"/>
      <c r="H18" s="21"/>
      <c r="I18" s="13"/>
      <c r="J18" s="18"/>
      <c r="K18" s="18"/>
      <c r="L18" s="7" t="s">
        <v>45</v>
      </c>
      <c r="M18" s="18"/>
    </row>
    <row r="19" spans="1:13" ht="26.25" customHeight="1">
      <c r="A19" s="3" t="s">
        <v>86</v>
      </c>
      <c r="B19" s="18" t="s">
        <v>46</v>
      </c>
      <c r="C19" s="18" t="s">
        <v>37</v>
      </c>
      <c r="D19" s="17">
        <v>1</v>
      </c>
      <c r="E19" s="7" t="s">
        <v>47</v>
      </c>
      <c r="F19" s="8">
        <v>60</v>
      </c>
      <c r="G19" s="10">
        <v>100</v>
      </c>
      <c r="H19" s="10">
        <f t="shared" ref="H19:H28" si="1">F19*G19</f>
        <v>6000</v>
      </c>
      <c r="I19" s="7">
        <v>968</v>
      </c>
      <c r="J19" s="18">
        <v>83.5</v>
      </c>
      <c r="K19" s="18">
        <v>0.246</v>
      </c>
      <c r="L19" s="7" t="s">
        <v>48</v>
      </c>
      <c r="M19" s="18"/>
    </row>
    <row r="20" spans="1:13" ht="26.25" customHeight="1">
      <c r="A20" s="3" t="s">
        <v>86</v>
      </c>
      <c r="B20" s="18"/>
      <c r="C20" s="18"/>
      <c r="D20" s="17"/>
      <c r="E20" s="7" t="s">
        <v>47</v>
      </c>
      <c r="F20" s="8">
        <v>50</v>
      </c>
      <c r="G20" s="10">
        <v>100</v>
      </c>
      <c r="H20" s="10">
        <f t="shared" si="1"/>
        <v>5000</v>
      </c>
      <c r="I20" s="7">
        <v>806</v>
      </c>
      <c r="J20" s="18"/>
      <c r="K20" s="18"/>
      <c r="L20" s="7" t="s">
        <v>48</v>
      </c>
      <c r="M20" s="18"/>
    </row>
    <row r="21" spans="1:13" ht="26.25" customHeight="1">
      <c r="A21" s="3" t="s">
        <v>86</v>
      </c>
      <c r="B21" s="18" t="s">
        <v>49</v>
      </c>
      <c r="C21" s="18" t="s">
        <v>37</v>
      </c>
      <c r="D21" s="17">
        <v>2</v>
      </c>
      <c r="E21" s="7" t="s">
        <v>50</v>
      </c>
      <c r="F21" s="8">
        <v>45</v>
      </c>
      <c r="G21" s="10">
        <v>98</v>
      </c>
      <c r="H21" s="10">
        <f t="shared" si="1"/>
        <v>4410</v>
      </c>
      <c r="I21" s="7">
        <v>711</v>
      </c>
      <c r="J21" s="18">
        <v>115</v>
      </c>
      <c r="K21" s="18">
        <v>0.70899999999999996</v>
      </c>
      <c r="L21" s="7" t="s">
        <v>51</v>
      </c>
      <c r="M21" s="18" t="s">
        <v>52</v>
      </c>
    </row>
    <row r="22" spans="1:13" ht="26.25" customHeight="1">
      <c r="A22" s="3" t="s">
        <v>86</v>
      </c>
      <c r="B22" s="18"/>
      <c r="C22" s="18"/>
      <c r="D22" s="17"/>
      <c r="E22" s="7" t="s">
        <v>50</v>
      </c>
      <c r="F22" s="8">
        <v>50</v>
      </c>
      <c r="G22" s="10">
        <v>98</v>
      </c>
      <c r="H22" s="10">
        <f t="shared" si="1"/>
        <v>4900</v>
      </c>
      <c r="I22" s="7">
        <v>790</v>
      </c>
      <c r="J22" s="18"/>
      <c r="K22" s="18"/>
      <c r="L22" s="7" t="s">
        <v>51</v>
      </c>
      <c r="M22" s="18"/>
    </row>
    <row r="23" spans="1:13" ht="26.25" customHeight="1">
      <c r="A23" s="3" t="s">
        <v>86</v>
      </c>
      <c r="B23" s="18" t="s">
        <v>49</v>
      </c>
      <c r="C23" s="18" t="s">
        <v>37</v>
      </c>
      <c r="D23" s="17">
        <v>3</v>
      </c>
      <c r="E23" s="7" t="s">
        <v>50</v>
      </c>
      <c r="F23" s="8">
        <v>60</v>
      </c>
      <c r="G23" s="10">
        <v>90</v>
      </c>
      <c r="H23" s="10">
        <f t="shared" si="1"/>
        <v>5400</v>
      </c>
      <c r="I23" s="7">
        <v>871</v>
      </c>
      <c r="J23" s="18">
        <v>216</v>
      </c>
      <c r="K23" s="18">
        <v>1.2669999999999999</v>
      </c>
      <c r="L23" s="7" t="s">
        <v>53</v>
      </c>
      <c r="M23" s="18" t="s">
        <v>54</v>
      </c>
    </row>
    <row r="24" spans="1:13" ht="26.25" customHeight="1">
      <c r="A24" s="3" t="s">
        <v>86</v>
      </c>
      <c r="B24" s="18"/>
      <c r="C24" s="18"/>
      <c r="D24" s="17"/>
      <c r="E24" s="7" t="s">
        <v>50</v>
      </c>
      <c r="F24" s="8">
        <v>45</v>
      </c>
      <c r="G24" s="10">
        <v>110</v>
      </c>
      <c r="H24" s="10">
        <f t="shared" si="1"/>
        <v>4950</v>
      </c>
      <c r="I24" s="7">
        <v>798</v>
      </c>
      <c r="J24" s="18"/>
      <c r="K24" s="18"/>
      <c r="L24" s="7" t="s">
        <v>53</v>
      </c>
      <c r="M24" s="18"/>
    </row>
    <row r="25" spans="1:13" ht="26.25" customHeight="1">
      <c r="A25" s="3" t="s">
        <v>86</v>
      </c>
      <c r="B25" s="18"/>
      <c r="C25" s="18"/>
      <c r="D25" s="17"/>
      <c r="E25" s="7" t="s">
        <v>55</v>
      </c>
      <c r="F25" s="8">
        <v>120</v>
      </c>
      <c r="G25" s="10">
        <v>70</v>
      </c>
      <c r="H25" s="10">
        <f t="shared" si="1"/>
        <v>8400</v>
      </c>
      <c r="I25" s="7">
        <v>1355</v>
      </c>
      <c r="J25" s="18"/>
      <c r="K25" s="18"/>
      <c r="L25" s="7" t="s">
        <v>56</v>
      </c>
      <c r="M25" s="18"/>
    </row>
    <row r="26" spans="1:13" ht="26.25" customHeight="1">
      <c r="A26" s="3" t="s">
        <v>86</v>
      </c>
      <c r="B26" s="7" t="s">
        <v>57</v>
      </c>
      <c r="C26" s="7" t="s">
        <v>37</v>
      </c>
      <c r="D26" s="9">
        <v>1</v>
      </c>
      <c r="E26" s="7" t="s">
        <v>41</v>
      </c>
      <c r="F26" s="8">
        <v>67</v>
      </c>
      <c r="G26" s="10">
        <v>100</v>
      </c>
      <c r="H26" s="10">
        <f t="shared" si="1"/>
        <v>6700</v>
      </c>
      <c r="I26" s="7">
        <v>1081</v>
      </c>
      <c r="J26" s="7">
        <v>51.5</v>
      </c>
      <c r="K26" s="7">
        <v>0.41899999999999998</v>
      </c>
      <c r="L26" s="7" t="s">
        <v>58</v>
      </c>
      <c r="M26" s="7"/>
    </row>
    <row r="27" spans="1:13" ht="26.25" customHeight="1">
      <c r="A27" s="3" t="s">
        <v>86</v>
      </c>
      <c r="B27" s="18" t="s">
        <v>62</v>
      </c>
      <c r="C27" s="18" t="s">
        <v>37</v>
      </c>
      <c r="D27" s="17">
        <v>2</v>
      </c>
      <c r="E27" s="7" t="s">
        <v>41</v>
      </c>
      <c r="F27" s="8">
        <v>60</v>
      </c>
      <c r="G27" s="10">
        <v>100</v>
      </c>
      <c r="H27" s="10">
        <f t="shared" si="1"/>
        <v>6000</v>
      </c>
      <c r="I27" s="7">
        <v>968</v>
      </c>
      <c r="J27" s="18">
        <v>157.5</v>
      </c>
      <c r="K27" s="18">
        <v>0.96899999999999997</v>
      </c>
      <c r="L27" s="7" t="s">
        <v>63</v>
      </c>
      <c r="M27" s="18" t="s">
        <v>64</v>
      </c>
    </row>
    <row r="28" spans="1:13" ht="26.25" customHeight="1">
      <c r="A28" s="3" t="s">
        <v>86</v>
      </c>
      <c r="B28" s="18"/>
      <c r="C28" s="18"/>
      <c r="D28" s="17"/>
      <c r="E28" s="7" t="s">
        <v>41</v>
      </c>
      <c r="F28" s="8">
        <v>94</v>
      </c>
      <c r="G28" s="10">
        <v>100</v>
      </c>
      <c r="H28" s="10">
        <f t="shared" si="1"/>
        <v>9400</v>
      </c>
      <c r="I28" s="7">
        <v>1516</v>
      </c>
      <c r="J28" s="18"/>
      <c r="K28" s="18"/>
      <c r="L28" s="7" t="s">
        <v>63</v>
      </c>
      <c r="M28" s="18"/>
    </row>
    <row r="29" spans="1:13" ht="26.25" customHeight="1">
      <c r="A29" s="3" t="s">
        <v>86</v>
      </c>
      <c r="B29" s="7" t="s">
        <v>65</v>
      </c>
      <c r="C29" s="7" t="s">
        <v>37</v>
      </c>
      <c r="D29" s="9">
        <v>1</v>
      </c>
      <c r="E29" s="7" t="s">
        <v>50</v>
      </c>
      <c r="F29" s="8">
        <v>45</v>
      </c>
      <c r="G29" s="10"/>
      <c r="H29" s="10">
        <v>630</v>
      </c>
      <c r="I29" s="7">
        <v>102</v>
      </c>
      <c r="J29" s="7">
        <v>53.5</v>
      </c>
      <c r="K29" s="7">
        <v>0.39900000000000002</v>
      </c>
      <c r="L29" s="7" t="s">
        <v>66</v>
      </c>
      <c r="M29" s="7"/>
    </row>
    <row r="30" spans="1:13" ht="26.25" customHeight="1">
      <c r="A30" s="3" t="s">
        <v>86</v>
      </c>
      <c r="B30" s="7" t="s">
        <v>67</v>
      </c>
      <c r="C30" s="7" t="s">
        <v>37</v>
      </c>
      <c r="D30" s="17">
        <v>1</v>
      </c>
      <c r="E30" s="7" t="s">
        <v>68</v>
      </c>
      <c r="F30" s="8">
        <v>24</v>
      </c>
      <c r="G30" s="10"/>
      <c r="H30" s="10">
        <v>630</v>
      </c>
      <c r="I30" s="7">
        <v>102</v>
      </c>
      <c r="J30" s="18">
        <v>71.5</v>
      </c>
      <c r="K30" s="18">
        <v>0.38500000000000001</v>
      </c>
      <c r="L30" s="7" t="s">
        <v>66</v>
      </c>
      <c r="M30" s="18"/>
    </row>
    <row r="31" spans="1:13" ht="26.25" customHeight="1">
      <c r="A31" s="3" t="s">
        <v>86</v>
      </c>
      <c r="B31" s="7" t="s">
        <v>69</v>
      </c>
      <c r="C31" s="7" t="s">
        <v>37</v>
      </c>
      <c r="D31" s="17"/>
      <c r="E31" s="7" t="s">
        <v>70</v>
      </c>
      <c r="F31" s="8">
        <v>24</v>
      </c>
      <c r="G31" s="10">
        <v>350</v>
      </c>
      <c r="H31" s="10">
        <f>F31*G31</f>
        <v>8400</v>
      </c>
      <c r="I31" s="7">
        <v>1355</v>
      </c>
      <c r="J31" s="18"/>
      <c r="K31" s="18"/>
      <c r="L31" s="7" t="s">
        <v>71</v>
      </c>
      <c r="M31" s="18"/>
    </row>
    <row r="32" spans="1:13" ht="26.25" customHeight="1">
      <c r="A32" s="3" t="s">
        <v>86</v>
      </c>
      <c r="B32" s="7" t="s">
        <v>17</v>
      </c>
      <c r="C32" s="7" t="s">
        <v>18</v>
      </c>
      <c r="D32" s="17">
        <v>1</v>
      </c>
      <c r="E32" s="7" t="s">
        <v>19</v>
      </c>
      <c r="F32" s="8">
        <v>92</v>
      </c>
      <c r="G32" s="10"/>
      <c r="H32" s="10">
        <v>17200</v>
      </c>
      <c r="I32" s="7">
        <v>2774</v>
      </c>
      <c r="J32" s="18">
        <v>103</v>
      </c>
      <c r="K32" s="18">
        <v>0.74</v>
      </c>
      <c r="L32" s="7" t="s">
        <v>20</v>
      </c>
      <c r="M32" s="18"/>
    </row>
    <row r="33" spans="1:13" ht="26.25" customHeight="1">
      <c r="A33" s="3" t="s">
        <v>86</v>
      </c>
      <c r="B33" s="7" t="s">
        <v>21</v>
      </c>
      <c r="C33" s="7" t="s">
        <v>18</v>
      </c>
      <c r="D33" s="17"/>
      <c r="E33" s="7" t="s">
        <v>22</v>
      </c>
      <c r="F33" s="8">
        <v>32</v>
      </c>
      <c r="G33" s="10"/>
      <c r="H33" s="10">
        <v>5120</v>
      </c>
      <c r="I33" s="7">
        <v>826</v>
      </c>
      <c r="J33" s="18"/>
      <c r="K33" s="18"/>
      <c r="L33" s="7" t="s">
        <v>20</v>
      </c>
      <c r="M33" s="18"/>
    </row>
    <row r="34" spans="1:13" ht="26.25" customHeight="1">
      <c r="A34" s="3" t="s">
        <v>86</v>
      </c>
      <c r="B34" s="7" t="s">
        <v>23</v>
      </c>
      <c r="C34" s="7" t="s">
        <v>18</v>
      </c>
      <c r="D34" s="17"/>
      <c r="E34" s="7" t="s">
        <v>24</v>
      </c>
      <c r="F34" s="8">
        <v>14</v>
      </c>
      <c r="G34" s="10"/>
      <c r="H34" s="10">
        <v>1240</v>
      </c>
      <c r="I34" s="7">
        <v>200</v>
      </c>
      <c r="J34" s="18"/>
      <c r="K34" s="18"/>
      <c r="L34" s="7" t="s">
        <v>20</v>
      </c>
      <c r="M34" s="18"/>
    </row>
    <row r="35" spans="1:13" ht="26.25" customHeight="1">
      <c r="A35" s="3" t="s">
        <v>86</v>
      </c>
      <c r="B35" s="7" t="s">
        <v>25</v>
      </c>
      <c r="C35" s="7" t="s">
        <v>18</v>
      </c>
      <c r="D35" s="9">
        <v>4</v>
      </c>
      <c r="E35" s="7" t="s">
        <v>26</v>
      </c>
      <c r="F35" s="8">
        <v>165</v>
      </c>
      <c r="G35" s="10"/>
      <c r="H35" s="10">
        <v>4960</v>
      </c>
      <c r="I35" s="7">
        <v>800</v>
      </c>
      <c r="J35" s="7">
        <v>260.2</v>
      </c>
      <c r="K35" s="7">
        <v>1.71</v>
      </c>
      <c r="L35" s="7" t="s">
        <v>20</v>
      </c>
      <c r="M35" s="7" t="s">
        <v>27</v>
      </c>
    </row>
    <row r="36" spans="1:13" ht="26.25" customHeight="1">
      <c r="A36" s="3" t="s">
        <v>86</v>
      </c>
      <c r="B36" s="7" t="s">
        <v>28</v>
      </c>
      <c r="C36" s="7" t="s">
        <v>18</v>
      </c>
      <c r="D36" s="9">
        <v>3</v>
      </c>
      <c r="E36" s="7" t="s">
        <v>29</v>
      </c>
      <c r="F36" s="8">
        <v>312</v>
      </c>
      <c r="G36" s="10"/>
      <c r="H36" s="10">
        <v>12480</v>
      </c>
      <c r="I36" s="7">
        <v>2013</v>
      </c>
      <c r="J36" s="7">
        <v>149</v>
      </c>
      <c r="K36" s="7">
        <v>0.93200000000000005</v>
      </c>
      <c r="L36" s="7" t="s">
        <v>20</v>
      </c>
      <c r="M36" s="7" t="s">
        <v>30</v>
      </c>
    </row>
    <row r="37" spans="1:13" ht="26.25" customHeight="1">
      <c r="A37" s="3" t="s">
        <v>86</v>
      </c>
      <c r="B37" s="7" t="s">
        <v>31</v>
      </c>
      <c r="C37" s="7" t="s">
        <v>18</v>
      </c>
      <c r="D37" s="9">
        <v>1</v>
      </c>
      <c r="E37" s="7" t="s">
        <v>32</v>
      </c>
      <c r="F37" s="8">
        <v>130</v>
      </c>
      <c r="G37" s="10"/>
      <c r="H37" s="10">
        <v>11160</v>
      </c>
      <c r="I37" s="7">
        <v>1800</v>
      </c>
      <c r="J37" s="7">
        <v>83.2</v>
      </c>
      <c r="K37" s="7">
        <v>0.248</v>
      </c>
      <c r="L37" s="7" t="s">
        <v>20</v>
      </c>
      <c r="M37" s="7"/>
    </row>
    <row r="38" spans="1:13" ht="26.25" customHeight="1">
      <c r="A38" s="3" t="s">
        <v>86</v>
      </c>
      <c r="B38" s="7" t="s">
        <v>33</v>
      </c>
      <c r="C38" s="7" t="s">
        <v>18</v>
      </c>
      <c r="D38" s="9">
        <v>1</v>
      </c>
      <c r="E38" s="7" t="s">
        <v>32</v>
      </c>
      <c r="F38" s="8">
        <v>239</v>
      </c>
      <c r="G38" s="10"/>
      <c r="H38" s="10">
        <v>18600</v>
      </c>
      <c r="I38" s="7">
        <v>3000</v>
      </c>
      <c r="J38" s="7">
        <v>77.400000000000006</v>
      </c>
      <c r="K38" s="7">
        <v>0.373</v>
      </c>
      <c r="L38" s="7" t="s">
        <v>20</v>
      </c>
      <c r="M38" s="7"/>
    </row>
    <row r="39" spans="1:13" ht="26.25" customHeight="1">
      <c r="A39" s="3" t="s">
        <v>86</v>
      </c>
      <c r="B39" s="7" t="s">
        <v>34</v>
      </c>
      <c r="C39" s="7" t="s">
        <v>18</v>
      </c>
      <c r="D39" s="17">
        <v>1</v>
      </c>
      <c r="E39" s="7" t="s">
        <v>79</v>
      </c>
      <c r="F39" s="8">
        <v>16</v>
      </c>
      <c r="G39" s="10"/>
      <c r="H39" s="10">
        <v>2000</v>
      </c>
      <c r="I39" s="7">
        <v>323</v>
      </c>
      <c r="J39" s="18">
        <v>81.400000000000006</v>
      </c>
      <c r="K39" s="18">
        <v>0.49199999999999999</v>
      </c>
      <c r="L39" s="7" t="s">
        <v>20</v>
      </c>
      <c r="M39" s="18"/>
    </row>
    <row r="40" spans="1:13" ht="26.25" customHeight="1">
      <c r="A40" s="3" t="s">
        <v>86</v>
      </c>
      <c r="B40" s="7" t="s">
        <v>35</v>
      </c>
      <c r="C40" s="7" t="s">
        <v>18</v>
      </c>
      <c r="D40" s="17"/>
      <c r="E40" s="7" t="s">
        <v>80</v>
      </c>
      <c r="F40" s="8">
        <v>164</v>
      </c>
      <c r="G40" s="10"/>
      <c r="H40" s="10">
        <v>3100</v>
      </c>
      <c r="I40" s="7">
        <v>500</v>
      </c>
      <c r="J40" s="18"/>
      <c r="K40" s="18"/>
      <c r="L40" s="7" t="s">
        <v>20</v>
      </c>
      <c r="M40" s="18"/>
    </row>
    <row r="41" spans="1:13" ht="26.25" customHeight="1">
      <c r="A41" s="3" t="s">
        <v>86</v>
      </c>
      <c r="B41" s="12" t="s">
        <v>72</v>
      </c>
      <c r="C41" s="12" t="s">
        <v>40</v>
      </c>
      <c r="D41" s="17">
        <v>1</v>
      </c>
      <c r="E41" s="7" t="s">
        <v>73</v>
      </c>
      <c r="F41" s="8">
        <v>9</v>
      </c>
      <c r="G41" s="10">
        <v>340</v>
      </c>
      <c r="H41" s="10">
        <f t="shared" ref="H41:H43" si="2">F41*G41</f>
        <v>3060</v>
      </c>
      <c r="I41" s="7">
        <v>494</v>
      </c>
      <c r="J41" s="18">
        <v>27.5</v>
      </c>
      <c r="K41" s="18">
        <v>0.20499999999999999</v>
      </c>
      <c r="L41" s="7" t="s">
        <v>74</v>
      </c>
      <c r="M41" s="18"/>
    </row>
    <row r="42" spans="1:13" ht="26.25" customHeight="1">
      <c r="A42" s="3" t="s">
        <v>86</v>
      </c>
      <c r="B42" s="13"/>
      <c r="C42" s="13"/>
      <c r="D42" s="17"/>
      <c r="E42" s="7" t="s">
        <v>75</v>
      </c>
      <c r="F42" s="8">
        <v>1</v>
      </c>
      <c r="G42" s="10">
        <v>250</v>
      </c>
      <c r="H42" s="10">
        <f t="shared" si="2"/>
        <v>250</v>
      </c>
      <c r="I42" s="7">
        <v>40</v>
      </c>
      <c r="J42" s="18"/>
      <c r="K42" s="18"/>
      <c r="L42" s="7" t="s">
        <v>20</v>
      </c>
      <c r="M42" s="18"/>
    </row>
    <row r="43" spans="1:13" ht="26.25" customHeight="1">
      <c r="A43" s="3" t="s">
        <v>86</v>
      </c>
      <c r="B43" s="7" t="s">
        <v>76</v>
      </c>
      <c r="C43" s="7" t="s">
        <v>37</v>
      </c>
      <c r="D43" s="17"/>
      <c r="E43" s="7" t="s">
        <v>77</v>
      </c>
      <c r="F43" s="8">
        <v>12</v>
      </c>
      <c r="G43" s="10">
        <v>90</v>
      </c>
      <c r="H43" s="10">
        <f t="shared" si="2"/>
        <v>1080</v>
      </c>
      <c r="I43" s="7">
        <v>174</v>
      </c>
      <c r="J43" s="18"/>
      <c r="K43" s="18"/>
      <c r="L43" s="7" t="s">
        <v>78</v>
      </c>
      <c r="M43" s="18"/>
    </row>
    <row r="44" spans="1:13" ht="26.25" customHeight="1">
      <c r="B44" s="11"/>
      <c r="C44" s="11" t="s">
        <v>82</v>
      </c>
      <c r="D44" s="11">
        <v>2</v>
      </c>
      <c r="E44" s="11">
        <v>81.5</v>
      </c>
      <c r="F44" s="11">
        <v>0.62</v>
      </c>
      <c r="G44" s="11"/>
      <c r="H44" s="11"/>
      <c r="I44" s="11"/>
      <c r="J44" s="11"/>
      <c r="K44" s="11"/>
      <c r="L44" s="11"/>
      <c r="M44" s="11"/>
    </row>
    <row r="45" spans="1:13" ht="26.25" customHeight="1">
      <c r="B45" s="11"/>
      <c r="C45" s="11" t="s">
        <v>83</v>
      </c>
      <c r="D45" s="11">
        <v>25</v>
      </c>
      <c r="E45" s="11">
        <v>1654.7</v>
      </c>
      <c r="F45" s="11">
        <v>10.225</v>
      </c>
      <c r="G45" s="11"/>
      <c r="H45" s="11"/>
      <c r="I45" s="11"/>
      <c r="J45" s="11"/>
      <c r="K45" s="11"/>
      <c r="L45" s="11"/>
      <c r="M45" s="11"/>
    </row>
    <row r="46" spans="1:13" ht="26.25" customHeight="1">
      <c r="B46" s="11"/>
      <c r="C46" s="11"/>
      <c r="D46" s="11">
        <f>SUM(D44:D45)</f>
        <v>27</v>
      </c>
      <c r="E46" s="11">
        <f>SUM(E44:E45)</f>
        <v>1736.2</v>
      </c>
      <c r="F46" s="11">
        <f>SUM(F44:F45)</f>
        <v>10.844999999999999</v>
      </c>
      <c r="G46" s="11"/>
      <c r="H46" s="11"/>
      <c r="I46" s="11"/>
      <c r="J46" s="11"/>
      <c r="K46" s="11"/>
      <c r="L46" s="11"/>
      <c r="M46" s="11"/>
    </row>
    <row r="47" spans="1:13" ht="26.25" customHeight="1"/>
    <row r="48" spans="1:13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</sheetData>
  <mergeCells count="68">
    <mergeCell ref="M39:M40"/>
    <mergeCell ref="D11:D13"/>
    <mergeCell ref="J11:J13"/>
    <mergeCell ref="K11:K13"/>
    <mergeCell ref="M11:M13"/>
    <mergeCell ref="B1:M1"/>
    <mergeCell ref="C11:C13"/>
    <mergeCell ref="B11:B13"/>
    <mergeCell ref="D2:E2"/>
    <mergeCell ref="F2:G2"/>
    <mergeCell ref="B2:C2"/>
    <mergeCell ref="J2:L2"/>
    <mergeCell ref="J14:J18"/>
    <mergeCell ref="K14:K18"/>
    <mergeCell ref="M14:M18"/>
    <mergeCell ref="B14:B18"/>
    <mergeCell ref="C14:C18"/>
    <mergeCell ref="H14:H18"/>
    <mergeCell ref="J19:J20"/>
    <mergeCell ref="K19:K20"/>
    <mergeCell ref="M19:M20"/>
    <mergeCell ref="B19:B20"/>
    <mergeCell ref="C19:C20"/>
    <mergeCell ref="J21:J22"/>
    <mergeCell ref="K21:K22"/>
    <mergeCell ref="M21:M22"/>
    <mergeCell ref="B21:B22"/>
    <mergeCell ref="C21:C22"/>
    <mergeCell ref="J23:J25"/>
    <mergeCell ref="K23:K25"/>
    <mergeCell ref="M23:M25"/>
    <mergeCell ref="B23:B25"/>
    <mergeCell ref="C23:C25"/>
    <mergeCell ref="J4:J10"/>
    <mergeCell ref="K4:K10"/>
    <mergeCell ref="M4:M10"/>
    <mergeCell ref="B4:B10"/>
    <mergeCell ref="C4:C10"/>
    <mergeCell ref="J27:J28"/>
    <mergeCell ref="K27:K28"/>
    <mergeCell ref="M27:M28"/>
    <mergeCell ref="B27:B28"/>
    <mergeCell ref="C27:C28"/>
    <mergeCell ref="J30:J31"/>
    <mergeCell ref="K30:K31"/>
    <mergeCell ref="M30:M31"/>
    <mergeCell ref="D41:D43"/>
    <mergeCell ref="J41:J43"/>
    <mergeCell ref="K41:K43"/>
    <mergeCell ref="M41:M43"/>
    <mergeCell ref="D32:D34"/>
    <mergeCell ref="J32:J34"/>
    <mergeCell ref="K32:K34"/>
    <mergeCell ref="M32:M34"/>
    <mergeCell ref="D39:D40"/>
    <mergeCell ref="J39:J40"/>
    <mergeCell ref="K39:K40"/>
    <mergeCell ref="C41:C42"/>
    <mergeCell ref="B41:B42"/>
    <mergeCell ref="H2:I2"/>
    <mergeCell ref="I14:I18"/>
    <mergeCell ref="D30:D31"/>
    <mergeCell ref="D27:D28"/>
    <mergeCell ref="D4:D10"/>
    <mergeCell ref="D23:D25"/>
    <mergeCell ref="D21:D22"/>
    <mergeCell ref="D19:D20"/>
    <mergeCell ref="D14:D18"/>
  </mergeCells>
  <phoneticPr fontId="1" type="noConversion"/>
  <printOptions verticalCentered="1"/>
  <pageMargins left="0.11811023622047" right="0.11811023622047" top="0.11811023622047" bottom="0.11811023622047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京258库飞机-第152单-2015-10-12-27包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微软用户</cp:lastModifiedBy>
  <dcterms:created xsi:type="dcterms:W3CDTF">2011-12-31T06:39:17Z</dcterms:created>
  <dcterms:modified xsi:type="dcterms:W3CDTF">2015-10-12T16:21:24Z</dcterms:modified>
</cp:coreProperties>
</file>