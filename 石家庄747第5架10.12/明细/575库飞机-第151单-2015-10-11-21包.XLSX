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0" windowWidth="18540" windowHeight="8520"/>
  </bookViews>
  <sheets>
    <sheet name="京258库飞机-第151单-2015-10-11-21包" sheetId="1" r:id="rId1"/>
  </sheets>
  <calcPr calcId="125725"/>
</workbook>
</file>

<file path=xl/calcChain.xml><?xml version="1.0" encoding="utf-8"?>
<calcChain xmlns="http://schemas.openxmlformats.org/spreadsheetml/2006/main">
  <c r="P36" i="1"/>
  <c r="P38"/>
  <c r="P44"/>
  <c r="P4"/>
  <c r="S44"/>
  <c r="R44"/>
  <c r="Q44"/>
  <c r="S38"/>
  <c r="R38"/>
  <c r="Q38"/>
  <c r="S36"/>
  <c r="R36"/>
  <c r="Q36"/>
  <c r="S32"/>
  <c r="R32"/>
  <c r="Q32"/>
  <c r="P32"/>
  <c r="S25"/>
  <c r="R25"/>
  <c r="Q25"/>
  <c r="P25"/>
  <c r="S22"/>
  <c r="R22"/>
  <c r="Q22"/>
  <c r="P22"/>
  <c r="S21"/>
  <c r="R21"/>
  <c r="Q21"/>
  <c r="P21"/>
  <c r="S20"/>
  <c r="R20"/>
  <c r="Q20"/>
  <c r="P20"/>
  <c r="S18"/>
  <c r="R18"/>
  <c r="Q18"/>
  <c r="P18"/>
  <c r="S16"/>
  <c r="R16"/>
  <c r="Q16"/>
  <c r="P16"/>
  <c r="S15"/>
  <c r="R15"/>
  <c r="Q15"/>
  <c r="P15"/>
  <c r="P10"/>
  <c r="Q10"/>
  <c r="R10"/>
  <c r="S10"/>
  <c r="P11"/>
  <c r="Q11"/>
  <c r="R11"/>
  <c r="S11"/>
  <c r="P12"/>
  <c r="Q12"/>
  <c r="R12"/>
  <c r="S12"/>
  <c r="S9"/>
  <c r="R9"/>
  <c r="Q9"/>
  <c r="S4"/>
  <c r="R4"/>
  <c r="Q4"/>
  <c r="P9"/>
  <c r="H52"/>
  <c r="G52"/>
  <c r="F52"/>
  <c r="I48"/>
  <c r="I47"/>
  <c r="I46"/>
  <c r="I45"/>
  <c r="I44"/>
  <c r="I43"/>
  <c r="I42"/>
  <c r="I41"/>
  <c r="I40"/>
  <c r="I39"/>
  <c r="I35"/>
  <c r="I34"/>
  <c r="I33"/>
  <c r="I32"/>
  <c r="I31"/>
  <c r="I30"/>
  <c r="I29"/>
  <c r="I28"/>
  <c r="I27"/>
  <c r="I26"/>
  <c r="I25"/>
  <c r="I24"/>
  <c r="I23"/>
  <c r="I22"/>
  <c r="I21"/>
  <c r="I19"/>
  <c r="I18"/>
  <c r="I14"/>
  <c r="I13"/>
  <c r="I12"/>
  <c r="I11"/>
  <c r="I8"/>
  <c r="I7"/>
  <c r="I6"/>
  <c r="I5"/>
</calcChain>
</file>

<file path=xl/sharedStrings.xml><?xml version="1.0" encoding="utf-8"?>
<sst xmlns="http://schemas.openxmlformats.org/spreadsheetml/2006/main" count="212" uniqueCount="91">
  <si>
    <t>京258库飞机-第151单-2015-10-11-21包</t>
  </si>
  <si>
    <t>城市</t>
  </si>
  <si>
    <t>出库单位：258库飞机</t>
  </si>
  <si>
    <t>日期：2015-10-11</t>
  </si>
  <si>
    <t>总包数：21</t>
  </si>
  <si>
    <t>233212￥=37616$</t>
  </si>
  <si>
    <t>总数量：1364</t>
  </si>
  <si>
    <t>总重量：1335.1</t>
  </si>
  <si>
    <t>总体积：7.502</t>
  </si>
  <si>
    <t>货主</t>
  </si>
  <si>
    <t>入库日期</t>
  </si>
  <si>
    <t>包数</t>
  </si>
  <si>
    <t>品名</t>
  </si>
  <si>
    <t>件数</t>
  </si>
  <si>
    <t>单价</t>
  </si>
  <si>
    <t>总货值</t>
  </si>
  <si>
    <t>总货值$</t>
  </si>
  <si>
    <t>公斤数</t>
  </si>
  <si>
    <t>立方数</t>
  </si>
  <si>
    <t>品牌</t>
  </si>
  <si>
    <t>备注</t>
  </si>
  <si>
    <t>莫斯科</t>
  </si>
  <si>
    <t>H8923</t>
  </si>
  <si>
    <t>2015-10-11</t>
  </si>
  <si>
    <t>K  IT</t>
  </si>
  <si>
    <t>H8428</t>
  </si>
  <si>
    <t>女棉服25.5kg</t>
  </si>
  <si>
    <t>WITGRISH</t>
  </si>
  <si>
    <t>女棉服</t>
  </si>
  <si>
    <t>GMS11094</t>
  </si>
  <si>
    <t>2015-10-09</t>
  </si>
  <si>
    <t>棉服</t>
  </si>
  <si>
    <t>K</t>
  </si>
  <si>
    <t>GMS0500</t>
  </si>
  <si>
    <t>MS6788</t>
  </si>
  <si>
    <t>女童滑雪裤</t>
  </si>
  <si>
    <t>MT12619</t>
  </si>
  <si>
    <t>VERSACECOLLECTON</t>
  </si>
  <si>
    <t>1）47.5kg-67件 2）53kg-40件</t>
  </si>
  <si>
    <t>童上衣</t>
  </si>
  <si>
    <t>男童羽绒服</t>
  </si>
  <si>
    <t>K (ZNFIBABY)</t>
  </si>
  <si>
    <t>MT12510</t>
  </si>
  <si>
    <t>ULS</t>
  </si>
  <si>
    <t>MT12559</t>
  </si>
  <si>
    <t>SEAWING</t>
  </si>
  <si>
    <t>MS7055</t>
  </si>
  <si>
    <t>女童牛仔裤</t>
  </si>
  <si>
    <t>BESTKIDSCLUB</t>
  </si>
  <si>
    <t>1）62.5kg-124件 2）62.5kg-135件</t>
  </si>
  <si>
    <t>MT12634</t>
  </si>
  <si>
    <t>水钻</t>
  </si>
  <si>
    <t>无件数</t>
  </si>
  <si>
    <t>1）59.5kg 2）56kg 3）56kg</t>
  </si>
  <si>
    <t>MT2828A</t>
  </si>
  <si>
    <t>XIYUYAQI</t>
  </si>
  <si>
    <t>MS0084</t>
  </si>
  <si>
    <t>STYLEX</t>
  </si>
  <si>
    <t>MS0152</t>
  </si>
  <si>
    <t>女革鞋</t>
  </si>
  <si>
    <t>MODEANONA</t>
  </si>
  <si>
    <t xml:space="preserve"> 1）69kg-48件 2）79kg-54件</t>
  </si>
  <si>
    <t>ML12621</t>
  </si>
  <si>
    <t>女革靴</t>
  </si>
  <si>
    <t>ROBERTAGULLTI</t>
  </si>
  <si>
    <t>GMT11096</t>
  </si>
  <si>
    <t>GMT11078</t>
  </si>
  <si>
    <t>成人服装27.8kg</t>
  </si>
  <si>
    <t>GMT0814</t>
  </si>
  <si>
    <t>成人服装45.4kg</t>
  </si>
  <si>
    <t>ML0652</t>
  </si>
  <si>
    <t>男棉服40.8kg</t>
  </si>
  <si>
    <t>男棉服</t>
  </si>
  <si>
    <t>MS6620</t>
  </si>
  <si>
    <t>男童裤48kg</t>
  </si>
  <si>
    <t>MERNIATO</t>
  </si>
  <si>
    <t>MS12647</t>
  </si>
  <si>
    <t>女棉服30.5kg</t>
  </si>
  <si>
    <t>LUSSKIRI</t>
  </si>
  <si>
    <t>H</t>
  </si>
  <si>
    <t>M</t>
  </si>
  <si>
    <t>成人服装43kg</t>
    <phoneticPr fontId="11" type="noConversion"/>
  </si>
  <si>
    <t>女童棉服</t>
    <phoneticPr fontId="11" type="noConversion"/>
  </si>
  <si>
    <t>饰品</t>
    <phoneticPr fontId="11" type="noConversion"/>
  </si>
  <si>
    <t>成人服装34.4kg</t>
    <phoneticPr fontId="11" type="noConversion"/>
  </si>
  <si>
    <t>女棉服/男童裤</t>
    <phoneticPr fontId="11" type="noConversion"/>
  </si>
  <si>
    <t>A-男棉服</t>
    <phoneticPr fontId="11" type="noConversion"/>
  </si>
  <si>
    <t>A-成人服装</t>
    <phoneticPr fontId="11" type="noConversion"/>
  </si>
  <si>
    <t>A-童棉服</t>
    <phoneticPr fontId="11" type="noConversion"/>
  </si>
  <si>
    <t>A-棉服</t>
    <phoneticPr fontId="11" type="noConversion"/>
  </si>
  <si>
    <t>A-女棉服/成人服装</t>
    <phoneticPr fontId="11" type="noConversion"/>
  </si>
</sst>
</file>

<file path=xl/styles.xml><?xml version="1.0" encoding="utf-8"?>
<styleSheet xmlns="http://schemas.openxmlformats.org/spreadsheetml/2006/main">
  <numFmts count="2">
    <numFmt numFmtId="178" formatCode="&quot;￥&quot;#,##0;[Red]&quot;￥&quot;#,##0"/>
    <numFmt numFmtId="179" formatCode="0;[Red]0"/>
  </numFmts>
  <fonts count="12">
    <font>
      <sz val="11"/>
      <color indexed="8"/>
      <name val="宋体"/>
      <charset val="134"/>
    </font>
    <font>
      <b/>
      <sz val="18"/>
      <color indexed="8"/>
      <name val="微软雅黑"/>
      <charset val="134"/>
    </font>
    <font>
      <b/>
      <sz val="16"/>
      <color indexed="8"/>
      <name val="宋体"/>
      <charset val="134"/>
    </font>
    <font>
      <b/>
      <sz val="16"/>
      <color indexed="8"/>
      <name val="微软雅黑"/>
      <charset val="134"/>
    </font>
    <font>
      <sz val="16"/>
      <color indexed="8"/>
      <name val="微软雅黑"/>
      <charset val="134"/>
    </font>
    <font>
      <sz val="11"/>
      <color indexed="8"/>
      <name val="微软雅黑"/>
      <charset val="134"/>
    </font>
    <font>
      <sz val="16"/>
      <color indexed="8"/>
      <name val="宋体"/>
      <charset val="134"/>
    </font>
    <font>
      <sz val="12"/>
      <color indexed="8"/>
      <name val="微软雅黑"/>
      <charset val="134"/>
    </font>
    <font>
      <sz val="14"/>
      <color indexed="8"/>
      <name val="微软雅黑"/>
      <charset val="134"/>
    </font>
    <font>
      <sz val="10"/>
      <color indexed="8"/>
      <name val="微软雅黑"/>
      <charset val="134"/>
    </font>
    <font>
      <b/>
      <sz val="12"/>
      <color indexed="8"/>
      <name val="宋体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0"/>
      </left>
      <right/>
      <top style="thin">
        <color indexed="8"/>
      </top>
      <bottom/>
      <diagonal/>
    </border>
    <border>
      <left style="thin">
        <color indexed="0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8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78" fontId="5" fillId="0" borderId="4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1" fontId="9" fillId="0" borderId="7" xfId="0" applyNumberFormat="1" applyFont="1" applyBorder="1" applyAlignment="1">
      <alignment horizontal="center" vertical="center" wrapText="1"/>
    </xf>
    <xf numFmtId="3" fontId="9" fillId="0" borderId="7" xfId="0" applyNumberFormat="1" applyFont="1" applyBorder="1" applyAlignment="1">
      <alignment horizontal="center" vertical="center" wrapText="1"/>
    </xf>
    <xf numFmtId="178" fontId="9" fillId="0" borderId="7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3" fontId="9" fillId="0" borderId="4" xfId="0" applyNumberFormat="1" applyFont="1" applyBorder="1" applyAlignment="1">
      <alignment horizontal="center" vertical="center" wrapText="1"/>
    </xf>
    <xf numFmtId="178" fontId="9" fillId="0" borderId="4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1" fontId="9" fillId="0" borderId="9" xfId="0" applyNumberFormat="1" applyFont="1" applyBorder="1" applyAlignment="1">
      <alignment horizontal="center" vertical="center" wrapText="1"/>
    </xf>
    <xf numFmtId="3" fontId="9" fillId="0" borderId="9" xfId="0" applyNumberFormat="1" applyFont="1" applyBorder="1" applyAlignment="1">
      <alignment horizontal="center" vertical="center" wrapText="1"/>
    </xf>
    <xf numFmtId="178" fontId="9" fillId="0" borderId="9" xfId="0" applyNumberFormat="1" applyFont="1" applyBorder="1" applyAlignment="1">
      <alignment horizontal="center" vertical="center" wrapText="1"/>
    </xf>
    <xf numFmtId="178" fontId="9" fillId="0" borderId="12" xfId="0" applyNumberFormat="1" applyFont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1" fontId="9" fillId="2" borderId="7" xfId="0" applyNumberFormat="1" applyFont="1" applyFill="1" applyBorder="1" applyAlignment="1">
      <alignment horizontal="center" vertical="center" wrapText="1"/>
    </xf>
    <xf numFmtId="3" fontId="9" fillId="2" borderId="7" xfId="0" applyNumberFormat="1" applyFont="1" applyFill="1" applyBorder="1" applyAlignment="1">
      <alignment horizontal="center" vertical="center" wrapText="1"/>
    </xf>
    <xf numFmtId="178" fontId="9" fillId="2" borderId="12" xfId="0" applyNumberFormat="1" applyFont="1" applyFill="1" applyBorder="1" applyAlignment="1">
      <alignment horizontal="center" vertical="center" wrapText="1"/>
    </xf>
    <xf numFmtId="3" fontId="9" fillId="0" borderId="13" xfId="0" applyNumberFormat="1" applyFont="1" applyBorder="1" applyAlignment="1">
      <alignment horizontal="center" vertical="center" wrapText="1"/>
    </xf>
    <xf numFmtId="178" fontId="9" fillId="0" borderId="13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3" fontId="9" fillId="0" borderId="15" xfId="0" applyNumberFormat="1" applyFont="1" applyBorder="1" applyAlignment="1">
      <alignment horizontal="center" vertical="center" wrapText="1"/>
    </xf>
    <xf numFmtId="178" fontId="9" fillId="0" borderId="15" xfId="0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  <xf numFmtId="0" fontId="10" fillId="0" borderId="4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179" fontId="0" fillId="0" borderId="0" xfId="0" applyNumberFormat="1" applyAlignment="1">
      <alignment horizontal="center" vertical="center"/>
    </xf>
    <xf numFmtId="178" fontId="9" fillId="0" borderId="3" xfId="0" applyNumberFormat="1" applyFont="1" applyBorder="1" applyAlignment="1">
      <alignment horizontal="center" vertical="center" wrapText="1"/>
    </xf>
    <xf numFmtId="178" fontId="9" fillId="2" borderId="17" xfId="0" applyNumberFormat="1" applyFont="1" applyFill="1" applyBorder="1" applyAlignment="1">
      <alignment horizontal="center" vertical="center" wrapText="1"/>
    </xf>
    <xf numFmtId="178" fontId="9" fillId="0" borderId="19" xfId="0" applyNumberFormat="1" applyFont="1" applyBorder="1" applyAlignment="1">
      <alignment horizontal="center" vertical="center" wrapText="1"/>
    </xf>
    <xf numFmtId="178" fontId="9" fillId="0" borderId="20" xfId="0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78" fontId="2" fillId="0" borderId="2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78" fontId="5" fillId="0" borderId="4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1" fontId="9" fillId="0" borderId="7" xfId="0" applyNumberFormat="1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 wrapText="1"/>
    </xf>
    <xf numFmtId="1" fontId="9" fillId="0" borderId="15" xfId="0" applyNumberFormat="1" applyFont="1" applyBorder="1" applyAlignment="1">
      <alignment horizontal="center" vertical="center" wrapText="1"/>
    </xf>
    <xf numFmtId="178" fontId="9" fillId="0" borderId="17" xfId="0" applyNumberFormat="1" applyFont="1" applyBorder="1" applyAlignment="1">
      <alignment horizontal="center" vertical="center" wrapText="1"/>
    </xf>
    <xf numFmtId="178" fontId="9" fillId="0" borderId="18" xfId="0" applyNumberFormat="1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FA53"/>
  <sheetViews>
    <sheetView tabSelected="1" topLeftCell="A31" zoomScale="85" zoomScaleNormal="85" workbookViewId="0">
      <selection activeCell="S43" sqref="S43"/>
    </sheetView>
  </sheetViews>
  <sheetFormatPr defaultColWidth="9" defaultRowHeight="13.5"/>
  <cols>
    <col min="1" max="1" width="0.25" style="1" customWidth="1"/>
    <col min="2" max="2" width="11.375" style="1" customWidth="1"/>
    <col min="3" max="3" width="9.75" style="1" customWidth="1"/>
    <col min="4" max="4" width="11.125" style="1" customWidth="1"/>
    <col min="5" max="5" width="6.25" style="1" customWidth="1"/>
    <col min="6" max="6" width="12.375" style="1" customWidth="1"/>
    <col min="7" max="7" width="7.375" style="1" customWidth="1"/>
    <col min="8" max="8" width="8.875" style="2" customWidth="1"/>
    <col min="9" max="9" width="10" style="2" customWidth="1"/>
    <col min="10" max="10" width="10" style="1" customWidth="1"/>
    <col min="11" max="11" width="7.25" style="1" customWidth="1"/>
    <col min="12" max="12" width="6.875" style="1" customWidth="1"/>
    <col min="13" max="13" width="14.875" style="1" customWidth="1"/>
    <col min="14" max="14" width="27.625" style="1" hidden="1" customWidth="1"/>
    <col min="15" max="15" width="1.375" style="1" customWidth="1"/>
    <col min="16" max="16" width="14.625" style="1" customWidth="1"/>
    <col min="17" max="16381" width="9" style="1"/>
  </cols>
  <sheetData>
    <row r="1" spans="1:22" ht="26.25" customHeight="1">
      <c r="A1" s="3"/>
      <c r="B1" s="3"/>
      <c r="C1" s="4"/>
      <c r="D1" s="58" t="s">
        <v>0</v>
      </c>
      <c r="E1" s="59"/>
      <c r="F1" s="59"/>
      <c r="G1" s="59"/>
      <c r="H1" s="60"/>
      <c r="I1" s="60"/>
      <c r="J1" s="59"/>
      <c r="K1" s="59"/>
      <c r="L1" s="59"/>
      <c r="M1" s="59"/>
      <c r="N1" s="61"/>
      <c r="O1" s="4"/>
    </row>
    <row r="2" spans="1:22" ht="26.25" customHeight="1">
      <c r="A2" s="5"/>
      <c r="B2" s="6" t="s">
        <v>1</v>
      </c>
      <c r="C2" s="62" t="s">
        <v>2</v>
      </c>
      <c r="D2" s="63"/>
      <c r="E2" s="64" t="s">
        <v>3</v>
      </c>
      <c r="F2" s="65"/>
      <c r="G2" s="64" t="s">
        <v>4</v>
      </c>
      <c r="H2" s="66"/>
      <c r="I2" s="66" t="s">
        <v>5</v>
      </c>
      <c r="J2" s="64"/>
      <c r="K2" s="62" t="s">
        <v>6</v>
      </c>
      <c r="L2" s="63"/>
      <c r="M2" s="7" t="s">
        <v>7</v>
      </c>
      <c r="N2" s="15" t="s">
        <v>8</v>
      </c>
      <c r="O2" s="4"/>
    </row>
    <row r="3" spans="1:22" ht="20.25" customHeight="1">
      <c r="A3" s="11"/>
      <c r="B3" s="12"/>
      <c r="C3" s="7" t="s">
        <v>9</v>
      </c>
      <c r="D3" s="8" t="s">
        <v>10</v>
      </c>
      <c r="E3" s="8" t="s">
        <v>11</v>
      </c>
      <c r="F3" s="13" t="s">
        <v>12</v>
      </c>
      <c r="G3" s="8" t="s">
        <v>13</v>
      </c>
      <c r="H3" s="10" t="s">
        <v>14</v>
      </c>
      <c r="I3" s="10" t="s">
        <v>15</v>
      </c>
      <c r="J3" s="48" t="s">
        <v>16</v>
      </c>
      <c r="K3" s="7" t="s">
        <v>17</v>
      </c>
      <c r="L3" s="8" t="s">
        <v>18</v>
      </c>
      <c r="M3" s="8" t="s">
        <v>19</v>
      </c>
      <c r="N3" s="8" t="s">
        <v>20</v>
      </c>
      <c r="O3" s="49"/>
    </row>
    <row r="4" spans="1:22" ht="18" customHeight="1">
      <c r="A4" s="14"/>
      <c r="B4" s="15" t="s">
        <v>21</v>
      </c>
      <c r="C4" s="16" t="s">
        <v>22</v>
      </c>
      <c r="D4" s="17" t="s">
        <v>23</v>
      </c>
      <c r="E4" s="79">
        <v>1</v>
      </c>
      <c r="F4" s="17" t="s">
        <v>81</v>
      </c>
      <c r="G4" s="19">
        <v>82</v>
      </c>
      <c r="H4" s="20"/>
      <c r="I4" s="32">
        <v>12580</v>
      </c>
      <c r="J4" s="50">
        <v>2029</v>
      </c>
      <c r="K4" s="67">
        <v>69</v>
      </c>
      <c r="L4" s="73">
        <v>0.47199999999999998</v>
      </c>
      <c r="M4" s="17" t="s">
        <v>24</v>
      </c>
      <c r="N4" s="17"/>
      <c r="O4" s="51"/>
      <c r="P4" s="52" t="str">
        <f>C4&amp;"/"&amp;C5&amp;"-1011-"&amp;E4</f>
        <v>H8923/H8428-1011-1</v>
      </c>
      <c r="Q4" s="86">
        <f>E4</f>
        <v>1</v>
      </c>
      <c r="R4" s="1">
        <f>K4</f>
        <v>69</v>
      </c>
      <c r="S4" s="1">
        <f>L4</f>
        <v>0.47199999999999998</v>
      </c>
      <c r="T4" s="17" t="s">
        <v>90</v>
      </c>
      <c r="U4" s="1">
        <v>103</v>
      </c>
      <c r="V4" s="1">
        <v>4260</v>
      </c>
    </row>
    <row r="5" spans="1:22" ht="18" customHeight="1">
      <c r="A5" s="14"/>
      <c r="B5" s="15" t="s">
        <v>21</v>
      </c>
      <c r="C5" s="67" t="s">
        <v>25</v>
      </c>
      <c r="D5" s="73" t="s">
        <v>23</v>
      </c>
      <c r="E5" s="79"/>
      <c r="F5" s="17" t="s">
        <v>26</v>
      </c>
      <c r="G5" s="19">
        <v>3</v>
      </c>
      <c r="H5" s="20">
        <v>695</v>
      </c>
      <c r="I5" s="53">
        <f>G:G*H:H</f>
        <v>2085</v>
      </c>
      <c r="J5" s="50">
        <v>336</v>
      </c>
      <c r="K5" s="67"/>
      <c r="L5" s="73"/>
      <c r="M5" s="17" t="s">
        <v>27</v>
      </c>
      <c r="N5" s="17"/>
      <c r="O5" s="51"/>
      <c r="P5" s="52"/>
    </row>
    <row r="6" spans="1:22" ht="18" customHeight="1">
      <c r="A6" s="14"/>
      <c r="B6" s="15" t="s">
        <v>21</v>
      </c>
      <c r="C6" s="67"/>
      <c r="D6" s="73"/>
      <c r="E6" s="79"/>
      <c r="F6" s="17" t="s">
        <v>28</v>
      </c>
      <c r="G6" s="19">
        <v>7</v>
      </c>
      <c r="H6" s="20">
        <v>695</v>
      </c>
      <c r="I6" s="53">
        <f>G:G*H:H</f>
        <v>4865</v>
      </c>
      <c r="J6" s="50">
        <v>785</v>
      </c>
      <c r="K6" s="67"/>
      <c r="L6" s="73"/>
      <c r="M6" s="17" t="s">
        <v>27</v>
      </c>
      <c r="N6" s="17"/>
      <c r="O6" s="51"/>
      <c r="P6" s="52"/>
    </row>
    <row r="7" spans="1:22" ht="18" customHeight="1">
      <c r="A7" s="14"/>
      <c r="B7" s="15" t="s">
        <v>21</v>
      </c>
      <c r="C7" s="67"/>
      <c r="D7" s="73"/>
      <c r="E7" s="79"/>
      <c r="F7" s="17" t="s">
        <v>28</v>
      </c>
      <c r="G7" s="19">
        <v>3</v>
      </c>
      <c r="H7" s="20">
        <v>695</v>
      </c>
      <c r="I7" s="53">
        <f>G:G*H:H</f>
        <v>2085</v>
      </c>
      <c r="J7" s="50">
        <v>336</v>
      </c>
      <c r="K7" s="67"/>
      <c r="L7" s="73"/>
      <c r="M7" s="17" t="s">
        <v>27</v>
      </c>
      <c r="N7" s="17"/>
      <c r="O7" s="51"/>
      <c r="P7" s="52"/>
    </row>
    <row r="8" spans="1:22" ht="18" customHeight="1">
      <c r="A8" s="14"/>
      <c r="B8" s="15" t="s">
        <v>21</v>
      </c>
      <c r="C8" s="67"/>
      <c r="D8" s="73"/>
      <c r="E8" s="79"/>
      <c r="F8" s="17" t="s">
        <v>28</v>
      </c>
      <c r="G8" s="19">
        <v>8</v>
      </c>
      <c r="H8" s="20">
        <v>600</v>
      </c>
      <c r="I8" s="53">
        <f>G:G*H:H</f>
        <v>4800</v>
      </c>
      <c r="J8" s="50">
        <v>774</v>
      </c>
      <c r="K8" s="67"/>
      <c r="L8" s="73"/>
      <c r="M8" s="17" t="s">
        <v>27</v>
      </c>
      <c r="N8" s="17"/>
      <c r="O8" s="51"/>
      <c r="P8" s="52"/>
    </row>
    <row r="9" spans="1:22" ht="18" customHeight="1">
      <c r="A9" s="9"/>
      <c r="B9" s="15" t="s">
        <v>21</v>
      </c>
      <c r="C9" s="21" t="s">
        <v>29</v>
      </c>
      <c r="D9" s="22" t="s">
        <v>30</v>
      </c>
      <c r="E9" s="23">
        <v>1</v>
      </c>
      <c r="F9" s="24" t="s">
        <v>31</v>
      </c>
      <c r="G9" s="25">
        <v>35</v>
      </c>
      <c r="H9" s="26"/>
      <c r="I9" s="53">
        <v>9205</v>
      </c>
      <c r="J9" s="50">
        <v>1485</v>
      </c>
      <c r="K9" s="21">
        <v>69.599999999999994</v>
      </c>
      <c r="L9" s="22">
        <v>0.51400000000000001</v>
      </c>
      <c r="M9" s="22" t="s">
        <v>32</v>
      </c>
      <c r="N9" s="22"/>
      <c r="O9" s="51"/>
      <c r="P9" s="52" t="str">
        <f>C9&amp;"-1011-"&amp;E9</f>
        <v>GMS11094-1011-1</v>
      </c>
      <c r="Q9" s="86">
        <f>E9</f>
        <v>1</v>
      </c>
      <c r="R9" s="1">
        <f>K9</f>
        <v>69.599999999999994</v>
      </c>
      <c r="S9" s="1">
        <f>L9</f>
        <v>0.51400000000000001</v>
      </c>
      <c r="T9" s="24" t="s">
        <v>89</v>
      </c>
      <c r="U9" s="25">
        <v>35</v>
      </c>
      <c r="V9" s="50">
        <v>1485</v>
      </c>
    </row>
    <row r="10" spans="1:22" ht="18" customHeight="1">
      <c r="A10" s="9"/>
      <c r="B10" s="15" t="s">
        <v>21</v>
      </c>
      <c r="C10" s="21" t="s">
        <v>33</v>
      </c>
      <c r="D10" s="22" t="s">
        <v>30</v>
      </c>
      <c r="E10" s="23">
        <v>1</v>
      </c>
      <c r="F10" s="24" t="s">
        <v>31</v>
      </c>
      <c r="G10" s="25">
        <v>61</v>
      </c>
      <c r="H10" s="26"/>
      <c r="I10" s="53">
        <v>7000</v>
      </c>
      <c r="J10" s="50">
        <v>1129</v>
      </c>
      <c r="K10" s="21">
        <v>68.400000000000006</v>
      </c>
      <c r="L10" s="22">
        <v>0.44500000000000001</v>
      </c>
      <c r="M10" s="22" t="s">
        <v>32</v>
      </c>
      <c r="N10" s="22"/>
      <c r="O10" s="51"/>
      <c r="P10" s="52" t="str">
        <f t="shared" ref="P10:P12" si="0">C10&amp;"-1011-"&amp;E10</f>
        <v>GMS0500-1011-1</v>
      </c>
      <c r="Q10" s="86">
        <f t="shared" ref="Q10:Q12" si="1">E10</f>
        <v>1</v>
      </c>
      <c r="R10" s="1">
        <f t="shared" ref="R10:R12" si="2">K10</f>
        <v>68.400000000000006</v>
      </c>
      <c r="S10" s="1">
        <f t="shared" ref="S10:S12" si="3">L10</f>
        <v>0.44500000000000001</v>
      </c>
      <c r="T10" s="24" t="s">
        <v>89</v>
      </c>
      <c r="U10" s="25">
        <v>61</v>
      </c>
      <c r="V10" s="50">
        <v>1129</v>
      </c>
    </row>
    <row r="11" spans="1:22" ht="18" customHeight="1">
      <c r="A11" s="14"/>
      <c r="B11" s="15" t="s">
        <v>21</v>
      </c>
      <c r="C11" s="27" t="s">
        <v>34</v>
      </c>
      <c r="D11" s="28" t="s">
        <v>23</v>
      </c>
      <c r="E11" s="29">
        <v>1</v>
      </c>
      <c r="F11" s="28" t="s">
        <v>35</v>
      </c>
      <c r="G11" s="30">
        <v>100</v>
      </c>
      <c r="H11" s="31">
        <v>80</v>
      </c>
      <c r="I11" s="53">
        <f>G:G*H:H</f>
        <v>8000</v>
      </c>
      <c r="J11" s="50">
        <v>1290</v>
      </c>
      <c r="K11" s="27">
        <v>56.4</v>
      </c>
      <c r="L11" s="28">
        <v>0.32</v>
      </c>
      <c r="M11" s="28"/>
      <c r="N11" s="28"/>
      <c r="O11" s="51"/>
      <c r="P11" s="52" t="str">
        <f t="shared" si="0"/>
        <v>MS6788-1011-1</v>
      </c>
      <c r="Q11" s="86">
        <f t="shared" si="1"/>
        <v>1</v>
      </c>
      <c r="R11" s="1">
        <f t="shared" si="2"/>
        <v>56.4</v>
      </c>
      <c r="S11" s="1">
        <f t="shared" si="3"/>
        <v>0.32</v>
      </c>
      <c r="T11" s="28" t="s">
        <v>35</v>
      </c>
      <c r="U11" s="30">
        <v>100</v>
      </c>
      <c r="V11" s="50">
        <v>1290</v>
      </c>
    </row>
    <row r="12" spans="1:22" ht="18" customHeight="1">
      <c r="A12" s="14"/>
      <c r="B12" s="15" t="s">
        <v>21</v>
      </c>
      <c r="C12" s="68" t="s">
        <v>36</v>
      </c>
      <c r="D12" s="74" t="s">
        <v>23</v>
      </c>
      <c r="E12" s="79">
        <v>2</v>
      </c>
      <c r="F12" s="17" t="s">
        <v>82</v>
      </c>
      <c r="G12" s="19">
        <v>50</v>
      </c>
      <c r="H12" s="20">
        <v>100</v>
      </c>
      <c r="I12" s="53">
        <f>G:G*H:H</f>
        <v>5000</v>
      </c>
      <c r="J12" s="50">
        <v>806</v>
      </c>
      <c r="K12" s="67">
        <v>100.5</v>
      </c>
      <c r="L12" s="73">
        <v>0.72399999999999998</v>
      </c>
      <c r="M12" s="17" t="s">
        <v>37</v>
      </c>
      <c r="N12" s="73" t="s">
        <v>38</v>
      </c>
      <c r="O12" s="51"/>
      <c r="P12" s="52" t="str">
        <f t="shared" si="0"/>
        <v>MT12619-1011-2</v>
      </c>
      <c r="Q12" s="86">
        <f t="shared" si="1"/>
        <v>2</v>
      </c>
      <c r="R12" s="1">
        <f t="shared" si="2"/>
        <v>100.5</v>
      </c>
      <c r="S12" s="1">
        <f t="shared" si="3"/>
        <v>0.72399999999999998</v>
      </c>
      <c r="T12" s="1" t="s">
        <v>88</v>
      </c>
      <c r="U12" s="1">
        <v>107</v>
      </c>
      <c r="V12" s="1">
        <v>1837</v>
      </c>
    </row>
    <row r="13" spans="1:22" ht="18" customHeight="1">
      <c r="A13" s="14"/>
      <c r="B13" s="15" t="s">
        <v>21</v>
      </c>
      <c r="C13" s="69"/>
      <c r="D13" s="75"/>
      <c r="E13" s="79"/>
      <c r="F13" s="17" t="s">
        <v>39</v>
      </c>
      <c r="G13" s="19">
        <v>17</v>
      </c>
      <c r="H13" s="20">
        <v>70</v>
      </c>
      <c r="I13" s="53">
        <f>G:G*H:H</f>
        <v>1190</v>
      </c>
      <c r="J13" s="50">
        <v>192</v>
      </c>
      <c r="K13" s="67"/>
      <c r="L13" s="73"/>
      <c r="M13" s="17"/>
      <c r="N13" s="73"/>
      <c r="O13" s="51"/>
      <c r="P13" s="52"/>
    </row>
    <row r="14" spans="1:22" ht="18" customHeight="1">
      <c r="A14" s="14"/>
      <c r="B14" s="15" t="s">
        <v>21</v>
      </c>
      <c r="C14" s="70"/>
      <c r="D14" s="76"/>
      <c r="E14" s="79"/>
      <c r="F14" s="17" t="s">
        <v>40</v>
      </c>
      <c r="G14" s="19">
        <v>40</v>
      </c>
      <c r="H14" s="20">
        <v>130</v>
      </c>
      <c r="I14" s="53">
        <f>G:G*H:H</f>
        <v>5200</v>
      </c>
      <c r="J14" s="50">
        <v>839</v>
      </c>
      <c r="K14" s="67"/>
      <c r="L14" s="73"/>
      <c r="M14" s="17" t="s">
        <v>41</v>
      </c>
      <c r="N14" s="73"/>
      <c r="O14" s="51"/>
      <c r="P14" s="52"/>
    </row>
    <row r="15" spans="1:22" ht="18" customHeight="1">
      <c r="A15" s="14"/>
      <c r="B15" s="15" t="s">
        <v>21</v>
      </c>
      <c r="C15" s="16" t="s">
        <v>42</v>
      </c>
      <c r="D15" s="17" t="s">
        <v>23</v>
      </c>
      <c r="E15" s="18">
        <v>1</v>
      </c>
      <c r="F15" s="17" t="s">
        <v>28</v>
      </c>
      <c r="G15" s="19">
        <v>75</v>
      </c>
      <c r="H15" s="20"/>
      <c r="I15" s="32">
        <v>10125</v>
      </c>
      <c r="J15" s="50">
        <v>1633</v>
      </c>
      <c r="K15" s="16">
        <v>85.5</v>
      </c>
      <c r="L15" s="17">
        <v>0.67700000000000005</v>
      </c>
      <c r="M15" s="17" t="s">
        <v>43</v>
      </c>
      <c r="N15" s="17"/>
      <c r="O15" s="51"/>
      <c r="P15" s="52" t="str">
        <f t="shared" ref="P15:P16" si="4">C15&amp;"-1011-"&amp;E15</f>
        <v>MT12510-1011-1</v>
      </c>
      <c r="Q15" s="86">
        <f t="shared" ref="Q15:Q16" si="5">E15</f>
        <v>1</v>
      </c>
      <c r="R15" s="1">
        <f t="shared" ref="R15:R16" si="6">K15</f>
        <v>85.5</v>
      </c>
      <c r="S15" s="1">
        <f t="shared" ref="S15:S16" si="7">L15</f>
        <v>0.67700000000000005</v>
      </c>
      <c r="T15" s="17" t="s">
        <v>28</v>
      </c>
      <c r="U15" s="19">
        <v>75</v>
      </c>
      <c r="V15" s="50">
        <v>1633</v>
      </c>
    </row>
    <row r="16" spans="1:22" ht="18" customHeight="1">
      <c r="A16" s="14"/>
      <c r="B16" s="15" t="s">
        <v>21</v>
      </c>
      <c r="C16" s="67" t="s">
        <v>44</v>
      </c>
      <c r="D16" s="73" t="s">
        <v>23</v>
      </c>
      <c r="E16" s="79">
        <v>1</v>
      </c>
      <c r="F16" s="17" t="s">
        <v>28</v>
      </c>
      <c r="G16" s="19">
        <v>14</v>
      </c>
      <c r="H16" s="32"/>
      <c r="I16" s="82">
        <v>26296</v>
      </c>
      <c r="J16" s="84">
        <v>4241</v>
      </c>
      <c r="K16" s="67">
        <v>37</v>
      </c>
      <c r="L16" s="73">
        <v>0.33800000000000002</v>
      </c>
      <c r="M16" s="17" t="s">
        <v>45</v>
      </c>
      <c r="N16" s="73"/>
      <c r="O16" s="51"/>
      <c r="P16" s="52" t="str">
        <f t="shared" si="4"/>
        <v>MT12559-1011-1</v>
      </c>
      <c r="Q16" s="86">
        <f t="shared" si="5"/>
        <v>1</v>
      </c>
      <c r="R16" s="1">
        <f t="shared" si="6"/>
        <v>37</v>
      </c>
      <c r="S16" s="1">
        <f t="shared" si="7"/>
        <v>0.33800000000000002</v>
      </c>
      <c r="T16" s="17" t="s">
        <v>28</v>
      </c>
      <c r="U16" s="1">
        <v>30</v>
      </c>
      <c r="V16" s="1">
        <v>4241</v>
      </c>
    </row>
    <row r="17" spans="1:22" ht="18" customHeight="1">
      <c r="A17" s="14"/>
      <c r="B17" s="15" t="s">
        <v>21</v>
      </c>
      <c r="C17" s="67"/>
      <c r="D17" s="73"/>
      <c r="E17" s="79"/>
      <c r="F17" s="17" t="s">
        <v>28</v>
      </c>
      <c r="G17" s="19">
        <v>16</v>
      </c>
      <c r="H17" s="32"/>
      <c r="I17" s="83"/>
      <c r="J17" s="85"/>
      <c r="K17" s="67"/>
      <c r="L17" s="73"/>
      <c r="M17" s="17" t="s">
        <v>45</v>
      </c>
      <c r="N17" s="73"/>
      <c r="O17" s="51"/>
      <c r="P17" s="52"/>
    </row>
    <row r="18" spans="1:22" ht="18" customHeight="1">
      <c r="A18" s="14"/>
      <c r="B18" s="15" t="s">
        <v>21</v>
      </c>
      <c r="C18" s="67" t="s">
        <v>46</v>
      </c>
      <c r="D18" s="73" t="s">
        <v>23</v>
      </c>
      <c r="E18" s="79">
        <v>2</v>
      </c>
      <c r="F18" s="17" t="s">
        <v>47</v>
      </c>
      <c r="G18" s="19">
        <v>124</v>
      </c>
      <c r="H18" s="20">
        <v>80</v>
      </c>
      <c r="I18" s="53">
        <f>G:G*H:H</f>
        <v>9920</v>
      </c>
      <c r="J18" s="50">
        <v>1600</v>
      </c>
      <c r="K18" s="67">
        <v>125</v>
      </c>
      <c r="L18" s="73">
        <v>0.47599999999999998</v>
      </c>
      <c r="M18" s="17" t="s">
        <v>48</v>
      </c>
      <c r="N18" s="73" t="s">
        <v>49</v>
      </c>
      <c r="O18" s="51"/>
      <c r="P18" s="52" t="str">
        <f t="shared" ref="P18" si="8">C18&amp;"-1011-"&amp;E18</f>
        <v>MS7055-1011-2</v>
      </c>
      <c r="Q18" s="86">
        <f t="shared" ref="Q18" si="9">E18</f>
        <v>2</v>
      </c>
      <c r="R18" s="1">
        <f t="shared" ref="R18" si="10">K18</f>
        <v>125</v>
      </c>
      <c r="S18" s="1">
        <f t="shared" ref="S18" si="11">L18</f>
        <v>0.47599999999999998</v>
      </c>
      <c r="T18" s="17" t="s">
        <v>47</v>
      </c>
      <c r="U18" s="1">
        <v>259</v>
      </c>
      <c r="V18" s="1">
        <v>3342</v>
      </c>
    </row>
    <row r="19" spans="1:22" ht="18" customHeight="1">
      <c r="A19" s="14"/>
      <c r="B19" s="15" t="s">
        <v>21</v>
      </c>
      <c r="C19" s="67"/>
      <c r="D19" s="73"/>
      <c r="E19" s="79"/>
      <c r="F19" s="17" t="s">
        <v>47</v>
      </c>
      <c r="G19" s="19">
        <v>135</v>
      </c>
      <c r="H19" s="20">
        <v>80</v>
      </c>
      <c r="I19" s="53">
        <f>G:G*H:H</f>
        <v>10800</v>
      </c>
      <c r="J19" s="50">
        <v>1742</v>
      </c>
      <c r="K19" s="67"/>
      <c r="L19" s="73"/>
      <c r="M19" s="17" t="s">
        <v>48</v>
      </c>
      <c r="N19" s="73"/>
      <c r="O19" s="51"/>
      <c r="P19" s="52"/>
    </row>
    <row r="20" spans="1:22" ht="17.25">
      <c r="A20" s="14"/>
      <c r="B20" s="15" t="s">
        <v>21</v>
      </c>
      <c r="C20" s="16" t="s">
        <v>50</v>
      </c>
      <c r="D20" s="33" t="s">
        <v>23</v>
      </c>
      <c r="E20" s="34">
        <v>3</v>
      </c>
      <c r="F20" s="33" t="s">
        <v>51</v>
      </c>
      <c r="G20" s="35" t="s">
        <v>52</v>
      </c>
      <c r="H20" s="36"/>
      <c r="I20" s="54">
        <v>25000</v>
      </c>
      <c r="J20" s="50">
        <v>4032</v>
      </c>
      <c r="K20" s="16">
        <v>171.5</v>
      </c>
      <c r="L20" s="17">
        <v>0.16600000000000001</v>
      </c>
      <c r="M20" s="17"/>
      <c r="N20" s="17" t="s">
        <v>53</v>
      </c>
      <c r="O20" s="51"/>
      <c r="P20" s="52" t="str">
        <f t="shared" ref="P20:P22" si="12">C20&amp;"-1011-"&amp;E20</f>
        <v>MT12634-1011-3</v>
      </c>
      <c r="Q20" s="86">
        <f t="shared" ref="Q20:Q22" si="13">E20</f>
        <v>3</v>
      </c>
      <c r="R20" s="1">
        <f t="shared" ref="R20:R22" si="14">K20</f>
        <v>171.5</v>
      </c>
      <c r="S20" s="1">
        <f t="shared" ref="S20:S22" si="15">L20</f>
        <v>0.16600000000000001</v>
      </c>
      <c r="T20" s="33" t="s">
        <v>83</v>
      </c>
      <c r="U20" s="35" t="s">
        <v>52</v>
      </c>
      <c r="V20" s="50">
        <v>4032</v>
      </c>
    </row>
    <row r="21" spans="1:22" ht="18" customHeight="1">
      <c r="A21" s="14"/>
      <c r="B21" s="15" t="s">
        <v>21</v>
      </c>
      <c r="C21" s="16" t="s">
        <v>54</v>
      </c>
      <c r="D21" s="17" t="s">
        <v>23</v>
      </c>
      <c r="E21" s="18">
        <v>1</v>
      </c>
      <c r="F21" s="17" t="s">
        <v>28</v>
      </c>
      <c r="G21" s="19">
        <v>76</v>
      </c>
      <c r="H21" s="20">
        <v>80</v>
      </c>
      <c r="I21" s="53">
        <f t="shared" ref="I21:I35" si="16">G:G*H:H</f>
        <v>6080</v>
      </c>
      <c r="J21" s="50">
        <v>981</v>
      </c>
      <c r="K21" s="16">
        <v>56.5</v>
      </c>
      <c r="L21" s="17">
        <v>0.39800000000000002</v>
      </c>
      <c r="M21" s="17" t="s">
        <v>55</v>
      </c>
      <c r="N21" s="17"/>
      <c r="O21" s="51"/>
      <c r="P21" s="52" t="str">
        <f t="shared" si="12"/>
        <v>MT2828A-1011-1</v>
      </c>
      <c r="Q21" s="86">
        <f t="shared" si="13"/>
        <v>1</v>
      </c>
      <c r="R21" s="1">
        <f t="shared" si="14"/>
        <v>56.5</v>
      </c>
      <c r="S21" s="1">
        <f t="shared" si="15"/>
        <v>0.39800000000000002</v>
      </c>
      <c r="T21" s="17" t="s">
        <v>28</v>
      </c>
      <c r="U21" s="19">
        <v>76</v>
      </c>
      <c r="V21" s="50">
        <v>981</v>
      </c>
    </row>
    <row r="22" spans="1:22" ht="18" customHeight="1">
      <c r="A22" s="14"/>
      <c r="B22" s="15" t="s">
        <v>21</v>
      </c>
      <c r="C22" s="67" t="s">
        <v>56</v>
      </c>
      <c r="D22" s="73" t="s">
        <v>23</v>
      </c>
      <c r="E22" s="79">
        <v>1</v>
      </c>
      <c r="F22" s="17" t="s">
        <v>28</v>
      </c>
      <c r="G22" s="19">
        <v>8</v>
      </c>
      <c r="H22" s="20">
        <v>1247</v>
      </c>
      <c r="I22" s="53">
        <f t="shared" si="16"/>
        <v>9976</v>
      </c>
      <c r="J22" s="50">
        <v>1609</v>
      </c>
      <c r="K22" s="67">
        <v>60</v>
      </c>
      <c r="L22" s="73">
        <v>0.39800000000000002</v>
      </c>
      <c r="M22" s="17" t="s">
        <v>57</v>
      </c>
      <c r="N22" s="73"/>
      <c r="O22" s="51"/>
      <c r="P22" s="52" t="str">
        <f t="shared" si="12"/>
        <v>MS0084-1011-1</v>
      </c>
      <c r="Q22" s="86">
        <f t="shared" si="13"/>
        <v>1</v>
      </c>
      <c r="R22" s="1">
        <f t="shared" si="14"/>
        <v>60</v>
      </c>
      <c r="S22" s="1">
        <f t="shared" si="15"/>
        <v>0.39800000000000002</v>
      </c>
      <c r="T22" s="17" t="s">
        <v>28</v>
      </c>
      <c r="U22" s="1">
        <v>33</v>
      </c>
      <c r="V22" s="1">
        <v>6332</v>
      </c>
    </row>
    <row r="23" spans="1:22" ht="18" customHeight="1">
      <c r="A23" s="14"/>
      <c r="B23" s="15" t="s">
        <v>21</v>
      </c>
      <c r="C23" s="67"/>
      <c r="D23" s="73"/>
      <c r="E23" s="79"/>
      <c r="F23" s="17" t="s">
        <v>28</v>
      </c>
      <c r="G23" s="19">
        <v>10</v>
      </c>
      <c r="H23" s="20">
        <v>1058</v>
      </c>
      <c r="I23" s="53">
        <f t="shared" si="16"/>
        <v>10580</v>
      </c>
      <c r="J23" s="50">
        <v>1706</v>
      </c>
      <c r="K23" s="67"/>
      <c r="L23" s="73"/>
      <c r="M23" s="17" t="s">
        <v>57</v>
      </c>
      <c r="N23" s="73"/>
      <c r="O23" s="51"/>
      <c r="P23" s="52"/>
    </row>
    <row r="24" spans="1:22" ht="18" customHeight="1">
      <c r="A24" s="14"/>
      <c r="B24" s="15" t="s">
        <v>21</v>
      </c>
      <c r="C24" s="67"/>
      <c r="D24" s="73"/>
      <c r="E24" s="79"/>
      <c r="F24" s="17" t="s">
        <v>28</v>
      </c>
      <c r="G24" s="19">
        <v>15</v>
      </c>
      <c r="H24" s="20">
        <v>1247</v>
      </c>
      <c r="I24" s="53">
        <f t="shared" si="16"/>
        <v>18705</v>
      </c>
      <c r="J24" s="50">
        <v>3017</v>
      </c>
      <c r="K24" s="67"/>
      <c r="L24" s="73"/>
      <c r="M24" s="17" t="s">
        <v>57</v>
      </c>
      <c r="N24" s="73"/>
      <c r="O24" s="51"/>
      <c r="P24" s="52"/>
    </row>
    <row r="25" spans="1:22" ht="18" customHeight="1">
      <c r="A25" s="14"/>
      <c r="B25" s="15" t="s">
        <v>21</v>
      </c>
      <c r="C25" s="67" t="s">
        <v>58</v>
      </c>
      <c r="D25" s="73" t="s">
        <v>23</v>
      </c>
      <c r="E25" s="79">
        <v>2</v>
      </c>
      <c r="F25" s="17" t="s">
        <v>59</v>
      </c>
      <c r="G25" s="19">
        <v>10</v>
      </c>
      <c r="H25" s="20">
        <v>120</v>
      </c>
      <c r="I25" s="53">
        <f t="shared" si="16"/>
        <v>1200</v>
      </c>
      <c r="J25" s="50">
        <v>194</v>
      </c>
      <c r="K25" s="67">
        <v>148</v>
      </c>
      <c r="L25" s="73">
        <v>0.85699999999999998</v>
      </c>
      <c r="M25" s="17" t="s">
        <v>60</v>
      </c>
      <c r="N25" s="73" t="s">
        <v>61</v>
      </c>
      <c r="O25" s="51"/>
      <c r="P25" s="52" t="str">
        <f t="shared" ref="P25" si="17">C25&amp;"-1011-"&amp;E25</f>
        <v>MS0152-1011-2</v>
      </c>
      <c r="Q25" s="86">
        <f t="shared" ref="Q25" si="18">E25</f>
        <v>2</v>
      </c>
      <c r="R25" s="1">
        <f t="shared" ref="R25" si="19">K25</f>
        <v>148</v>
      </c>
      <c r="S25" s="1">
        <f t="shared" ref="S25" si="20">L25</f>
        <v>0.85699999999999998</v>
      </c>
      <c r="T25" s="17" t="s">
        <v>59</v>
      </c>
      <c r="U25" s="1">
        <v>102</v>
      </c>
      <c r="V25" s="1">
        <v>1976</v>
      </c>
    </row>
    <row r="26" spans="1:22" ht="18" customHeight="1">
      <c r="A26" s="14"/>
      <c r="B26" s="15" t="s">
        <v>21</v>
      </c>
      <c r="C26" s="67"/>
      <c r="D26" s="73"/>
      <c r="E26" s="79"/>
      <c r="F26" s="17" t="s">
        <v>59</v>
      </c>
      <c r="G26" s="19">
        <v>16</v>
      </c>
      <c r="H26" s="20">
        <v>120</v>
      </c>
      <c r="I26" s="53">
        <f t="shared" si="16"/>
        <v>1920</v>
      </c>
      <c r="J26" s="50">
        <v>310</v>
      </c>
      <c r="K26" s="67"/>
      <c r="L26" s="73"/>
      <c r="M26" s="17" t="s">
        <v>60</v>
      </c>
      <c r="N26" s="73"/>
      <c r="O26" s="51"/>
      <c r="P26" s="52"/>
    </row>
    <row r="27" spans="1:22" ht="18" customHeight="1">
      <c r="A27" s="14"/>
      <c r="B27" s="15" t="s">
        <v>21</v>
      </c>
      <c r="C27" s="67"/>
      <c r="D27" s="73"/>
      <c r="E27" s="79"/>
      <c r="F27" s="17" t="s">
        <v>59</v>
      </c>
      <c r="G27" s="19">
        <v>16</v>
      </c>
      <c r="H27" s="20">
        <v>120</v>
      </c>
      <c r="I27" s="53">
        <f t="shared" si="16"/>
        <v>1920</v>
      </c>
      <c r="J27" s="50">
        <v>310</v>
      </c>
      <c r="K27" s="67"/>
      <c r="L27" s="73"/>
      <c r="M27" s="17" t="s">
        <v>60</v>
      </c>
      <c r="N27" s="73"/>
      <c r="O27" s="51"/>
      <c r="P27" s="52"/>
    </row>
    <row r="28" spans="1:22" ht="18" customHeight="1">
      <c r="A28" s="14"/>
      <c r="B28" s="15" t="s">
        <v>21</v>
      </c>
      <c r="C28" s="67"/>
      <c r="D28" s="73"/>
      <c r="E28" s="79"/>
      <c r="F28" s="17" t="s">
        <v>59</v>
      </c>
      <c r="G28" s="19">
        <v>16</v>
      </c>
      <c r="H28" s="20">
        <v>120</v>
      </c>
      <c r="I28" s="53">
        <f t="shared" si="16"/>
        <v>1920</v>
      </c>
      <c r="J28" s="50">
        <v>310</v>
      </c>
      <c r="K28" s="67"/>
      <c r="L28" s="73"/>
      <c r="M28" s="17" t="s">
        <v>60</v>
      </c>
      <c r="N28" s="73"/>
      <c r="O28" s="51"/>
      <c r="P28" s="52"/>
    </row>
    <row r="29" spans="1:22" ht="18" customHeight="1">
      <c r="A29" s="14"/>
      <c r="B29" s="15" t="s">
        <v>21</v>
      </c>
      <c r="C29" s="67"/>
      <c r="D29" s="73"/>
      <c r="E29" s="79"/>
      <c r="F29" s="17" t="s">
        <v>59</v>
      </c>
      <c r="G29" s="19">
        <v>16</v>
      </c>
      <c r="H29" s="20">
        <v>120</v>
      </c>
      <c r="I29" s="53">
        <f t="shared" si="16"/>
        <v>1920</v>
      </c>
      <c r="J29" s="50">
        <v>310</v>
      </c>
      <c r="K29" s="67"/>
      <c r="L29" s="73"/>
      <c r="M29" s="17" t="s">
        <v>60</v>
      </c>
      <c r="N29" s="73"/>
      <c r="O29" s="51"/>
      <c r="P29" s="52"/>
    </row>
    <row r="30" spans="1:22" ht="18" customHeight="1">
      <c r="A30" s="14"/>
      <c r="B30" s="15" t="s">
        <v>21</v>
      </c>
      <c r="C30" s="67"/>
      <c r="D30" s="73"/>
      <c r="E30" s="79"/>
      <c r="F30" s="17" t="s">
        <v>59</v>
      </c>
      <c r="G30" s="19">
        <v>16</v>
      </c>
      <c r="H30" s="20">
        <v>120</v>
      </c>
      <c r="I30" s="53">
        <f t="shared" si="16"/>
        <v>1920</v>
      </c>
      <c r="J30" s="50">
        <v>310</v>
      </c>
      <c r="K30" s="67"/>
      <c r="L30" s="73"/>
      <c r="M30" s="17" t="s">
        <v>60</v>
      </c>
      <c r="N30" s="73"/>
      <c r="O30" s="51"/>
      <c r="P30" s="52"/>
    </row>
    <row r="31" spans="1:22" ht="18" customHeight="1">
      <c r="A31" s="14"/>
      <c r="B31" s="15" t="s">
        <v>21</v>
      </c>
      <c r="C31" s="67"/>
      <c r="D31" s="73"/>
      <c r="E31" s="79"/>
      <c r="F31" s="17" t="s">
        <v>59</v>
      </c>
      <c r="G31" s="19">
        <v>12</v>
      </c>
      <c r="H31" s="20">
        <v>120</v>
      </c>
      <c r="I31" s="53">
        <f t="shared" si="16"/>
        <v>1440</v>
      </c>
      <c r="J31" s="50">
        <v>232</v>
      </c>
      <c r="K31" s="67"/>
      <c r="L31" s="73"/>
      <c r="M31" s="17" t="s">
        <v>60</v>
      </c>
      <c r="N31" s="73"/>
      <c r="O31" s="51"/>
      <c r="P31" s="52"/>
    </row>
    <row r="32" spans="1:22" ht="18" customHeight="1">
      <c r="A32" s="14"/>
      <c r="B32" s="15" t="s">
        <v>21</v>
      </c>
      <c r="C32" s="67" t="s">
        <v>62</v>
      </c>
      <c r="D32" s="73" t="s">
        <v>23</v>
      </c>
      <c r="E32" s="79">
        <v>1</v>
      </c>
      <c r="F32" s="17" t="s">
        <v>63</v>
      </c>
      <c r="G32" s="19">
        <v>8</v>
      </c>
      <c r="H32" s="20">
        <v>170</v>
      </c>
      <c r="I32" s="53">
        <f t="shared" si="16"/>
        <v>1360</v>
      </c>
      <c r="J32" s="50">
        <v>219</v>
      </c>
      <c r="K32" s="67">
        <v>58</v>
      </c>
      <c r="L32" s="73">
        <v>0.34100000000000003</v>
      </c>
      <c r="M32" s="17" t="s">
        <v>64</v>
      </c>
      <c r="N32" s="73"/>
      <c r="O32" s="51"/>
      <c r="P32" s="52" t="str">
        <f t="shared" ref="P32" si="21">C32&amp;"-1011-"&amp;E32</f>
        <v>ML12621-1011-1</v>
      </c>
      <c r="Q32" s="86">
        <f t="shared" ref="Q32" si="22">E32</f>
        <v>1</v>
      </c>
      <c r="R32" s="1">
        <f t="shared" ref="R32" si="23">K32</f>
        <v>58</v>
      </c>
      <c r="S32" s="1">
        <f t="shared" ref="S32" si="24">L32</f>
        <v>0.34100000000000003</v>
      </c>
      <c r="T32" s="17" t="s">
        <v>63</v>
      </c>
      <c r="U32" s="1">
        <v>32</v>
      </c>
      <c r="V32" s="1">
        <v>954</v>
      </c>
    </row>
    <row r="33" spans="1:22" ht="18" customHeight="1">
      <c r="A33" s="14"/>
      <c r="B33" s="15" t="s">
        <v>21</v>
      </c>
      <c r="C33" s="67"/>
      <c r="D33" s="73"/>
      <c r="E33" s="79"/>
      <c r="F33" s="17" t="s">
        <v>63</v>
      </c>
      <c r="G33" s="19">
        <v>8</v>
      </c>
      <c r="H33" s="20">
        <v>170</v>
      </c>
      <c r="I33" s="53">
        <f t="shared" si="16"/>
        <v>1360</v>
      </c>
      <c r="J33" s="50">
        <v>219</v>
      </c>
      <c r="K33" s="67"/>
      <c r="L33" s="73"/>
      <c r="M33" s="17" t="s">
        <v>64</v>
      </c>
      <c r="N33" s="73"/>
      <c r="O33" s="51"/>
      <c r="P33" s="52"/>
    </row>
    <row r="34" spans="1:22" ht="18" customHeight="1">
      <c r="A34" s="14"/>
      <c r="B34" s="15" t="s">
        <v>21</v>
      </c>
      <c r="C34" s="67"/>
      <c r="D34" s="73"/>
      <c r="E34" s="79"/>
      <c r="F34" s="17" t="s">
        <v>63</v>
      </c>
      <c r="G34" s="19">
        <v>8</v>
      </c>
      <c r="H34" s="20">
        <v>200</v>
      </c>
      <c r="I34" s="53">
        <f t="shared" si="16"/>
        <v>1600</v>
      </c>
      <c r="J34" s="50">
        <v>258</v>
      </c>
      <c r="K34" s="67"/>
      <c r="L34" s="73"/>
      <c r="M34" s="17" t="s">
        <v>64</v>
      </c>
      <c r="N34" s="73"/>
      <c r="O34" s="51"/>
      <c r="P34" s="52"/>
    </row>
    <row r="35" spans="1:22" ht="18" customHeight="1">
      <c r="A35" s="14"/>
      <c r="B35" s="15" t="s">
        <v>21</v>
      </c>
      <c r="C35" s="67"/>
      <c r="D35" s="73"/>
      <c r="E35" s="79"/>
      <c r="F35" s="17" t="s">
        <v>63</v>
      </c>
      <c r="G35" s="19">
        <v>8</v>
      </c>
      <c r="H35" s="20">
        <v>200</v>
      </c>
      <c r="I35" s="53">
        <f t="shared" si="16"/>
        <v>1600</v>
      </c>
      <c r="J35" s="50">
        <v>258</v>
      </c>
      <c r="K35" s="67"/>
      <c r="L35" s="73"/>
      <c r="M35" s="17" t="s">
        <v>64</v>
      </c>
      <c r="N35" s="73"/>
      <c r="O35" s="51"/>
      <c r="P35" s="52"/>
    </row>
    <row r="36" spans="1:22" ht="18" customHeight="1">
      <c r="A36" s="9"/>
      <c r="B36" s="15" t="s">
        <v>21</v>
      </c>
      <c r="C36" s="21" t="s">
        <v>65</v>
      </c>
      <c r="D36" s="22" t="s">
        <v>30</v>
      </c>
      <c r="E36" s="80">
        <v>1</v>
      </c>
      <c r="F36" s="22" t="s">
        <v>84</v>
      </c>
      <c r="G36" s="37">
        <v>33</v>
      </c>
      <c r="H36" s="38"/>
      <c r="I36" s="55">
        <v>2000</v>
      </c>
      <c r="J36" s="50">
        <v>323</v>
      </c>
      <c r="K36" s="71">
        <v>63</v>
      </c>
      <c r="L36" s="77">
        <v>0.42799999999999999</v>
      </c>
      <c r="M36" s="22" t="s">
        <v>32</v>
      </c>
      <c r="N36" s="77"/>
      <c r="O36" s="51"/>
      <c r="P36" s="52" t="str">
        <f>C36&amp;"/"&amp;C37&amp;"-1011-"&amp;E36</f>
        <v>GMT11096/GMT11078-1011-1</v>
      </c>
      <c r="Q36" s="86">
        <f t="shared" ref="Q36" si="25">E36</f>
        <v>1</v>
      </c>
      <c r="R36" s="1">
        <f t="shared" ref="R36" si="26">K36</f>
        <v>63</v>
      </c>
      <c r="S36" s="1">
        <f t="shared" ref="S36" si="27">L36</f>
        <v>0.42799999999999999</v>
      </c>
      <c r="T36" s="1" t="s">
        <v>87</v>
      </c>
      <c r="U36" s="1">
        <v>70</v>
      </c>
      <c r="V36" s="1">
        <v>646</v>
      </c>
    </row>
    <row r="37" spans="1:22" ht="18" customHeight="1">
      <c r="A37" s="9"/>
      <c r="B37" s="15" t="s">
        <v>21</v>
      </c>
      <c r="C37" s="21" t="s">
        <v>66</v>
      </c>
      <c r="D37" s="22" t="s">
        <v>30</v>
      </c>
      <c r="E37" s="80"/>
      <c r="F37" s="22" t="s">
        <v>67</v>
      </c>
      <c r="G37" s="25">
        <v>37</v>
      </c>
      <c r="H37" s="26"/>
      <c r="I37" s="53">
        <v>2000</v>
      </c>
      <c r="J37" s="50">
        <v>323</v>
      </c>
      <c r="K37" s="71"/>
      <c r="L37" s="77"/>
      <c r="M37" s="22" t="s">
        <v>32</v>
      </c>
      <c r="N37" s="77"/>
      <c r="O37" s="51"/>
      <c r="P37" s="52"/>
    </row>
    <row r="38" spans="1:22" ht="18" customHeight="1">
      <c r="A38" s="9"/>
      <c r="B38" s="15" t="s">
        <v>21</v>
      </c>
      <c r="C38" s="21" t="s">
        <v>68</v>
      </c>
      <c r="D38" s="22" t="s">
        <v>30</v>
      </c>
      <c r="E38" s="80">
        <v>1</v>
      </c>
      <c r="F38" s="22" t="s">
        <v>69</v>
      </c>
      <c r="G38" s="25">
        <v>116</v>
      </c>
      <c r="H38" s="26"/>
      <c r="I38" s="53">
        <v>4960</v>
      </c>
      <c r="J38" s="50">
        <v>800</v>
      </c>
      <c r="K38" s="71">
        <v>87.2</v>
      </c>
      <c r="L38" s="77">
        <v>0.48</v>
      </c>
      <c r="M38" s="22" t="s">
        <v>32</v>
      </c>
      <c r="N38" s="22"/>
      <c r="O38" s="51"/>
      <c r="P38" s="52" t="str">
        <f>C38&amp;"/"&amp;C39&amp;"-1011-"&amp;E38</f>
        <v>GMT0814/ML0652-1011-1</v>
      </c>
      <c r="Q38" s="86">
        <f t="shared" ref="Q38" si="28">E38</f>
        <v>1</v>
      </c>
      <c r="R38" s="1">
        <f t="shared" ref="R38" si="29">K38</f>
        <v>87.2</v>
      </c>
      <c r="S38" s="1">
        <f t="shared" ref="S38" si="30">L38</f>
        <v>0.48</v>
      </c>
      <c r="T38" s="22" t="s">
        <v>86</v>
      </c>
      <c r="U38" s="1">
        <v>141</v>
      </c>
      <c r="V38" s="1">
        <v>1605</v>
      </c>
    </row>
    <row r="39" spans="1:22" ht="18" customHeight="1">
      <c r="A39" s="9"/>
      <c r="B39" s="15" t="s">
        <v>21</v>
      </c>
      <c r="C39" s="71" t="s">
        <v>70</v>
      </c>
      <c r="D39" s="77" t="s">
        <v>23</v>
      </c>
      <c r="E39" s="80"/>
      <c r="F39" s="22" t="s">
        <v>71</v>
      </c>
      <c r="G39" s="25">
        <v>5</v>
      </c>
      <c r="H39" s="26">
        <v>200</v>
      </c>
      <c r="I39" s="53">
        <f t="shared" ref="I39:I48" si="31">G:G*H:H</f>
        <v>1000</v>
      </c>
      <c r="J39" s="50">
        <v>161</v>
      </c>
      <c r="K39" s="71"/>
      <c r="L39" s="77"/>
      <c r="M39" s="22"/>
      <c r="N39" s="22"/>
      <c r="O39" s="51"/>
      <c r="P39" s="52"/>
    </row>
    <row r="40" spans="1:22" ht="18" customHeight="1">
      <c r="A40" s="9"/>
      <c r="B40" s="15" t="s">
        <v>21</v>
      </c>
      <c r="C40" s="71"/>
      <c r="D40" s="77"/>
      <c r="E40" s="80"/>
      <c r="F40" s="22" t="s">
        <v>72</v>
      </c>
      <c r="G40" s="25">
        <v>5</v>
      </c>
      <c r="H40" s="26">
        <v>200</v>
      </c>
      <c r="I40" s="53">
        <f t="shared" si="31"/>
        <v>1000</v>
      </c>
      <c r="J40" s="50">
        <v>161</v>
      </c>
      <c r="K40" s="71"/>
      <c r="L40" s="77"/>
      <c r="M40" s="22"/>
      <c r="N40" s="22"/>
      <c r="O40" s="51"/>
      <c r="P40" s="52"/>
    </row>
    <row r="41" spans="1:22" ht="18" customHeight="1">
      <c r="A41" s="9"/>
      <c r="B41" s="15" t="s">
        <v>21</v>
      </c>
      <c r="C41" s="71"/>
      <c r="D41" s="77"/>
      <c r="E41" s="80"/>
      <c r="F41" s="22" t="s">
        <v>72</v>
      </c>
      <c r="G41" s="25">
        <v>5</v>
      </c>
      <c r="H41" s="26">
        <v>200</v>
      </c>
      <c r="I41" s="53">
        <f t="shared" si="31"/>
        <v>1000</v>
      </c>
      <c r="J41" s="50">
        <v>161</v>
      </c>
      <c r="K41" s="71"/>
      <c r="L41" s="77"/>
      <c r="M41" s="22"/>
      <c r="N41" s="22"/>
      <c r="O41" s="51"/>
      <c r="P41" s="52"/>
    </row>
    <row r="42" spans="1:22" ht="18" customHeight="1">
      <c r="A42" s="9"/>
      <c r="B42" s="15" t="s">
        <v>21</v>
      </c>
      <c r="C42" s="71"/>
      <c r="D42" s="77"/>
      <c r="E42" s="80"/>
      <c r="F42" s="22" t="s">
        <v>72</v>
      </c>
      <c r="G42" s="25">
        <v>5</v>
      </c>
      <c r="H42" s="26">
        <v>200</v>
      </c>
      <c r="I42" s="53">
        <f t="shared" si="31"/>
        <v>1000</v>
      </c>
      <c r="J42" s="50">
        <v>161</v>
      </c>
      <c r="K42" s="71"/>
      <c r="L42" s="77"/>
      <c r="M42" s="22"/>
      <c r="N42" s="22"/>
      <c r="O42" s="51"/>
      <c r="P42" s="52"/>
    </row>
    <row r="43" spans="1:22" ht="18" customHeight="1">
      <c r="A43" s="9"/>
      <c r="B43" s="15" t="s">
        <v>21</v>
      </c>
      <c r="C43" s="72"/>
      <c r="D43" s="78"/>
      <c r="E43" s="81"/>
      <c r="F43" s="39" t="s">
        <v>72</v>
      </c>
      <c r="G43" s="40">
        <v>5</v>
      </c>
      <c r="H43" s="41">
        <v>200</v>
      </c>
      <c r="I43" s="56">
        <f t="shared" si="31"/>
        <v>1000</v>
      </c>
      <c r="J43" s="50">
        <v>161</v>
      </c>
      <c r="K43" s="72"/>
      <c r="L43" s="78"/>
      <c r="M43" s="39"/>
      <c r="N43" s="39"/>
      <c r="O43" s="51"/>
      <c r="P43" s="52"/>
    </row>
    <row r="44" spans="1:22" ht="18" customHeight="1">
      <c r="A44" s="42"/>
      <c r="B44" s="15" t="s">
        <v>21</v>
      </c>
      <c r="C44" s="21" t="s">
        <v>73</v>
      </c>
      <c r="D44" s="22" t="s">
        <v>23</v>
      </c>
      <c r="E44" s="80">
        <v>1</v>
      </c>
      <c r="F44" s="22" t="s">
        <v>74</v>
      </c>
      <c r="G44" s="25">
        <v>120</v>
      </c>
      <c r="H44" s="26">
        <v>30</v>
      </c>
      <c r="I44" s="53">
        <f t="shared" si="31"/>
        <v>3600</v>
      </c>
      <c r="J44" s="50">
        <v>581</v>
      </c>
      <c r="K44" s="71">
        <v>79.5</v>
      </c>
      <c r="L44" s="77">
        <v>0.46800000000000003</v>
      </c>
      <c r="M44" s="22" t="s">
        <v>75</v>
      </c>
      <c r="N44" s="77"/>
      <c r="O44" s="42"/>
      <c r="P44" s="52" t="str">
        <f>C44&amp;"/"&amp;C45&amp;"-1011-"&amp;E44</f>
        <v>MS6620/MS12647-1011-1</v>
      </c>
      <c r="Q44" s="86">
        <f t="shared" ref="Q44" si="32">E44</f>
        <v>1</v>
      </c>
      <c r="R44" s="1">
        <f t="shared" ref="R44" si="33">K44</f>
        <v>79.5</v>
      </c>
      <c r="S44" s="1">
        <f t="shared" ref="S44" si="34">L44</f>
        <v>0.46800000000000003</v>
      </c>
      <c r="T44" s="22" t="s">
        <v>85</v>
      </c>
      <c r="U44" s="1">
        <v>140</v>
      </c>
      <c r="V44" s="1">
        <v>1873</v>
      </c>
    </row>
    <row r="45" spans="1:22" ht="18" customHeight="1">
      <c r="A45" s="42"/>
      <c r="B45" s="15" t="s">
        <v>21</v>
      </c>
      <c r="C45" s="71" t="s">
        <v>76</v>
      </c>
      <c r="D45" s="77" t="s">
        <v>23</v>
      </c>
      <c r="E45" s="80"/>
      <c r="F45" s="22" t="s">
        <v>77</v>
      </c>
      <c r="G45" s="25">
        <v>5</v>
      </c>
      <c r="H45" s="26">
        <v>400</v>
      </c>
      <c r="I45" s="53">
        <f t="shared" si="31"/>
        <v>2000</v>
      </c>
      <c r="J45" s="50">
        <v>323</v>
      </c>
      <c r="K45" s="71"/>
      <c r="L45" s="77"/>
      <c r="M45" s="22" t="s">
        <v>78</v>
      </c>
      <c r="N45" s="77"/>
      <c r="O45" s="42"/>
      <c r="P45" s="52"/>
    </row>
    <row r="46" spans="1:22" ht="18" customHeight="1">
      <c r="A46" s="42"/>
      <c r="B46" s="15" t="s">
        <v>21</v>
      </c>
      <c r="C46" s="71"/>
      <c r="D46" s="77"/>
      <c r="E46" s="80"/>
      <c r="F46" s="22" t="s">
        <v>28</v>
      </c>
      <c r="G46" s="25">
        <v>5</v>
      </c>
      <c r="H46" s="26">
        <v>400</v>
      </c>
      <c r="I46" s="53">
        <f t="shared" si="31"/>
        <v>2000</v>
      </c>
      <c r="J46" s="50">
        <v>323</v>
      </c>
      <c r="K46" s="71"/>
      <c r="L46" s="77"/>
      <c r="M46" s="22" t="s">
        <v>78</v>
      </c>
      <c r="N46" s="77"/>
      <c r="O46" s="42"/>
      <c r="P46" s="52"/>
    </row>
    <row r="47" spans="1:22" ht="18" customHeight="1">
      <c r="A47" s="42"/>
      <c r="B47" s="15" t="s">
        <v>21</v>
      </c>
      <c r="C47" s="71"/>
      <c r="D47" s="77"/>
      <c r="E47" s="80"/>
      <c r="F47" s="22" t="s">
        <v>28</v>
      </c>
      <c r="G47" s="25">
        <v>5</v>
      </c>
      <c r="H47" s="26">
        <v>400</v>
      </c>
      <c r="I47" s="53">
        <f t="shared" si="31"/>
        <v>2000</v>
      </c>
      <c r="J47" s="50">
        <v>323</v>
      </c>
      <c r="K47" s="71"/>
      <c r="L47" s="77"/>
      <c r="M47" s="22" t="s">
        <v>78</v>
      </c>
      <c r="N47" s="77"/>
      <c r="O47" s="42"/>
      <c r="P47" s="52"/>
    </row>
    <row r="48" spans="1:22" ht="18" customHeight="1">
      <c r="A48" s="42"/>
      <c r="B48" s="15" t="s">
        <v>21</v>
      </c>
      <c r="C48" s="71"/>
      <c r="D48" s="77"/>
      <c r="E48" s="80"/>
      <c r="F48" s="22" t="s">
        <v>28</v>
      </c>
      <c r="G48" s="25">
        <v>5</v>
      </c>
      <c r="H48" s="26">
        <v>400</v>
      </c>
      <c r="I48" s="53">
        <f t="shared" si="31"/>
        <v>2000</v>
      </c>
      <c r="J48" s="50">
        <v>323</v>
      </c>
      <c r="K48" s="71"/>
      <c r="L48" s="77"/>
      <c r="M48" s="22" t="s">
        <v>78</v>
      </c>
      <c r="N48" s="77"/>
      <c r="O48" s="42"/>
      <c r="P48" s="52"/>
    </row>
    <row r="49" spans="2:14" ht="24.95" customHeight="1">
      <c r="B49" s="43"/>
      <c r="C49" s="44"/>
      <c r="D49" s="45"/>
      <c r="E49" s="45"/>
      <c r="F49" s="45"/>
      <c r="G49" s="45"/>
      <c r="H49" s="46"/>
      <c r="I49" s="46"/>
      <c r="J49" s="57"/>
      <c r="K49" s="45"/>
      <c r="L49" s="45"/>
      <c r="M49" s="45"/>
      <c r="N49" s="45"/>
    </row>
    <row r="50" spans="2:14" ht="24.95" customHeight="1">
      <c r="B50" s="43"/>
      <c r="C50" s="44"/>
      <c r="D50" s="45"/>
      <c r="E50" s="47" t="s">
        <v>79</v>
      </c>
      <c r="F50" s="47">
        <v>1</v>
      </c>
      <c r="G50" s="47">
        <v>69</v>
      </c>
      <c r="H50" s="47">
        <v>0.47199999999999998</v>
      </c>
      <c r="I50" s="46"/>
      <c r="J50" s="45"/>
      <c r="K50" s="45"/>
      <c r="L50" s="45"/>
      <c r="M50" s="45"/>
      <c r="N50" s="45"/>
    </row>
    <row r="51" spans="2:14" ht="24.95" customHeight="1">
      <c r="B51" s="43"/>
      <c r="C51" s="44"/>
      <c r="D51" s="45"/>
      <c r="E51" s="47" t="s">
        <v>80</v>
      </c>
      <c r="F51" s="47">
        <v>20</v>
      </c>
      <c r="G51" s="47">
        <v>1266.0999999999999</v>
      </c>
      <c r="H51" s="47">
        <v>7.03</v>
      </c>
      <c r="I51" s="46"/>
      <c r="J51" s="45"/>
      <c r="K51" s="45"/>
      <c r="L51" s="45"/>
      <c r="M51" s="45"/>
      <c r="N51" s="45"/>
    </row>
    <row r="52" spans="2:14" ht="24.95" customHeight="1">
      <c r="B52" s="43"/>
      <c r="C52" s="44"/>
      <c r="D52" s="45"/>
      <c r="E52" s="47"/>
      <c r="F52" s="47">
        <f t="shared" ref="F52" si="35">SUM(F50:F51)</f>
        <v>21</v>
      </c>
      <c r="G52" s="47">
        <f>SUM(G50:G51)</f>
        <v>1335.1</v>
      </c>
      <c r="H52" s="47">
        <f>SUM(H50:H51)</f>
        <v>7.5019999999999998</v>
      </c>
      <c r="I52" s="46"/>
      <c r="J52" s="45"/>
      <c r="K52" s="45"/>
      <c r="L52" s="45"/>
      <c r="M52" s="45"/>
      <c r="N52" s="45"/>
    </row>
    <row r="53" spans="2:14" ht="24.95" customHeight="1"/>
  </sheetData>
  <mergeCells count="64">
    <mergeCell ref="N32:N35"/>
    <mergeCell ref="N36:N37"/>
    <mergeCell ref="N44:N48"/>
    <mergeCell ref="N12:N14"/>
    <mergeCell ref="N16:N17"/>
    <mergeCell ref="N18:N19"/>
    <mergeCell ref="N22:N24"/>
    <mergeCell ref="N25:N31"/>
    <mergeCell ref="K38:K43"/>
    <mergeCell ref="K44:K48"/>
    <mergeCell ref="L4:L8"/>
    <mergeCell ref="L12:L14"/>
    <mergeCell ref="L16:L17"/>
    <mergeCell ref="L18:L19"/>
    <mergeCell ref="L22:L24"/>
    <mergeCell ref="L25:L31"/>
    <mergeCell ref="L32:L35"/>
    <mergeCell ref="L36:L37"/>
    <mergeCell ref="L38:L43"/>
    <mergeCell ref="L44:L48"/>
    <mergeCell ref="K18:K19"/>
    <mergeCell ref="K22:K24"/>
    <mergeCell ref="K25:K31"/>
    <mergeCell ref="K32:K35"/>
    <mergeCell ref="K36:K37"/>
    <mergeCell ref="I16:I17"/>
    <mergeCell ref="J16:J17"/>
    <mergeCell ref="K4:K8"/>
    <mergeCell ref="K12:K14"/>
    <mergeCell ref="K16:K17"/>
    <mergeCell ref="E25:E31"/>
    <mergeCell ref="E32:E35"/>
    <mergeCell ref="E36:E37"/>
    <mergeCell ref="E38:E43"/>
    <mergeCell ref="E44:E48"/>
    <mergeCell ref="E4:E8"/>
    <mergeCell ref="E12:E14"/>
    <mergeCell ref="E16:E17"/>
    <mergeCell ref="E18:E19"/>
    <mergeCell ref="E22:E24"/>
    <mergeCell ref="C25:C31"/>
    <mergeCell ref="C32:C35"/>
    <mergeCell ref="C39:C43"/>
    <mergeCell ref="C45:C48"/>
    <mergeCell ref="D5:D8"/>
    <mergeCell ref="D12:D14"/>
    <mergeCell ref="D16:D17"/>
    <mergeCell ref="D18:D19"/>
    <mergeCell ref="D22:D24"/>
    <mergeCell ref="D25:D31"/>
    <mergeCell ref="D32:D35"/>
    <mergeCell ref="D39:D43"/>
    <mergeCell ref="D45:D48"/>
    <mergeCell ref="C5:C8"/>
    <mergeCell ref="C12:C14"/>
    <mergeCell ref="C16:C17"/>
    <mergeCell ref="C18:C19"/>
    <mergeCell ref="C22:C24"/>
    <mergeCell ref="D1:N1"/>
    <mergeCell ref="C2:D2"/>
    <mergeCell ref="E2:F2"/>
    <mergeCell ref="G2:H2"/>
    <mergeCell ref="I2:J2"/>
    <mergeCell ref="K2:L2"/>
  </mergeCells>
  <phoneticPr fontId="11" type="noConversion"/>
  <printOptions verticalCentered="1"/>
  <pageMargins left="0.118055555555556" right="0.118055555555556" top="0.118055555555556" bottom="0.118055555555556" header="0.3" footer="0.3"/>
  <pageSetup paperSize="9" scale="8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京258库飞机-第151单-2015-10-11-21包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</dc:creator>
  <cp:lastModifiedBy>Administrator</cp:lastModifiedBy>
  <dcterms:created xsi:type="dcterms:W3CDTF">2011-12-31T06:39:00Z</dcterms:created>
  <dcterms:modified xsi:type="dcterms:W3CDTF">2015-10-11T16:47:57Z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2052-9.1.0.5218</vt:lpwstr>
  </property>
</Properties>
</file>