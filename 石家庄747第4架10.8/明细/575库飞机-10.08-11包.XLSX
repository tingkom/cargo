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3655" windowHeight="9240"/>
  </bookViews>
  <sheets>
    <sheet name="京258库飞机-第148单-2015-10-08-11包" sheetId="1" r:id="rId1"/>
  </sheets>
  <calcPr calcId="125725"/>
</workbook>
</file>

<file path=xl/calcChain.xml><?xml version="1.0" encoding="utf-8"?>
<calcChain xmlns="http://schemas.openxmlformats.org/spreadsheetml/2006/main">
  <c r="O8" i="1"/>
  <c r="O5"/>
  <c r="O11"/>
  <c r="O20"/>
  <c r="O32"/>
  <c r="O31"/>
  <c r="O30"/>
  <c r="O29"/>
  <c r="R32"/>
  <c r="Q32"/>
  <c r="P32"/>
  <c r="R31"/>
  <c r="Q31"/>
  <c r="P31"/>
  <c r="R30"/>
  <c r="Q30"/>
  <c r="P30"/>
  <c r="R29"/>
  <c r="Q29"/>
  <c r="P29"/>
  <c r="R20"/>
  <c r="Q20"/>
  <c r="P20"/>
  <c r="R11"/>
  <c r="Q11"/>
  <c r="P11"/>
  <c r="R8"/>
  <c r="Q8"/>
  <c r="P8"/>
  <c r="R5"/>
  <c r="Q5"/>
  <c r="P5"/>
  <c r="R4"/>
  <c r="Q4"/>
  <c r="P4"/>
  <c r="O4"/>
  <c r="H34"/>
  <c r="H33"/>
  <c r="H32"/>
  <c r="H28"/>
  <c r="H27"/>
  <c r="H26"/>
  <c r="H25"/>
  <c r="H24"/>
  <c r="H23"/>
  <c r="H19"/>
  <c r="H13"/>
  <c r="H7"/>
  <c r="H6"/>
  <c r="H5"/>
  <c r="H4"/>
</calcChain>
</file>

<file path=xl/sharedStrings.xml><?xml version="1.0" encoding="utf-8"?>
<sst xmlns="http://schemas.openxmlformats.org/spreadsheetml/2006/main" count="157" uniqueCount="84">
  <si>
    <t>京258库飞机-第148单-2015-10-08-11包</t>
  </si>
  <si>
    <t>出库单位：258库飞机</t>
  </si>
  <si>
    <t>日期：2015-10-08</t>
  </si>
  <si>
    <t>总包数：11</t>
  </si>
  <si>
    <t>总数量：805</t>
  </si>
  <si>
    <t>总体积：4.734</t>
  </si>
  <si>
    <t>货主</t>
  </si>
  <si>
    <t>入库日期</t>
  </si>
  <si>
    <t>包数</t>
  </si>
  <si>
    <t>品名</t>
  </si>
  <si>
    <t>件数</t>
  </si>
  <si>
    <t>单价</t>
  </si>
  <si>
    <t>总货值</t>
  </si>
  <si>
    <t>公斤数</t>
  </si>
  <si>
    <t>立方数</t>
  </si>
  <si>
    <t>品牌</t>
  </si>
  <si>
    <t>备注</t>
  </si>
  <si>
    <t>GMT0369</t>
  </si>
  <si>
    <t>2015-10-06</t>
  </si>
  <si>
    <t>成人服装</t>
  </si>
  <si>
    <t>K</t>
  </si>
  <si>
    <t>1）75.2kg  2）54.4kg</t>
  </si>
  <si>
    <t>GMS6629</t>
  </si>
  <si>
    <t>童装</t>
  </si>
  <si>
    <t>GMT0450</t>
  </si>
  <si>
    <t>1）77.8kg  2）80.6kg</t>
  </si>
  <si>
    <t>MS12466</t>
  </si>
  <si>
    <t>2015-10-07</t>
  </si>
  <si>
    <t>女棉服</t>
  </si>
  <si>
    <t>MEAJIATEER</t>
  </si>
  <si>
    <t>MS12238</t>
  </si>
  <si>
    <t>2015-10-08</t>
  </si>
  <si>
    <t>BATTERFLEI</t>
  </si>
  <si>
    <t>MS12531</t>
  </si>
  <si>
    <t>童皮鞋</t>
  </si>
  <si>
    <t>K UGG</t>
  </si>
  <si>
    <t>ML711</t>
  </si>
  <si>
    <t>女裤</t>
  </si>
  <si>
    <t>HASBEEYA</t>
  </si>
  <si>
    <t>女连衣裙</t>
  </si>
  <si>
    <t>MS0592</t>
  </si>
  <si>
    <t>ZILANLIYA</t>
  </si>
  <si>
    <t>MS6393</t>
  </si>
  <si>
    <t>女棉服12.5kg</t>
  </si>
  <si>
    <t>MISSFOFO</t>
  </si>
  <si>
    <t>MS12397</t>
  </si>
  <si>
    <t>童爬服35kg</t>
  </si>
  <si>
    <t>BOTCHKOVA</t>
  </si>
  <si>
    <t>女童棉服</t>
  </si>
  <si>
    <t>YONGFA</t>
  </si>
  <si>
    <t>男童棉服</t>
  </si>
  <si>
    <t>LEBO</t>
  </si>
  <si>
    <t>GALA&amp;LORA</t>
  </si>
  <si>
    <t>DR</t>
  </si>
  <si>
    <t>MS0008</t>
  </si>
  <si>
    <t>男毛衣29kg</t>
  </si>
  <si>
    <t>K (CK)</t>
  </si>
  <si>
    <t>MS0670</t>
  </si>
  <si>
    <t>女毛衣3.5kg</t>
  </si>
  <si>
    <t>DOLCE GABBANA</t>
  </si>
  <si>
    <t>ML0504</t>
  </si>
  <si>
    <t>无</t>
  </si>
  <si>
    <t>男棉服</t>
  </si>
  <si>
    <t>MS0545</t>
  </si>
  <si>
    <t>女连衣裙20kg</t>
  </si>
  <si>
    <t>KASBEEYA</t>
  </si>
  <si>
    <t>女上衣</t>
  </si>
  <si>
    <t>RUIYUE</t>
  </si>
  <si>
    <t>女毛衣</t>
  </si>
  <si>
    <t>CELYNB</t>
  </si>
  <si>
    <t>女小衫</t>
  </si>
  <si>
    <t>女短裙21.5kg</t>
  </si>
  <si>
    <t>杂</t>
  </si>
  <si>
    <t>女短裙</t>
  </si>
  <si>
    <t>无件数</t>
    <phoneticPr fontId="1" type="noConversion"/>
  </si>
  <si>
    <t>总货值$</t>
    <phoneticPr fontId="1" type="noConversion"/>
  </si>
  <si>
    <t>144535元=23312$</t>
    <phoneticPr fontId="1" type="noConversion"/>
  </si>
  <si>
    <t>城市</t>
    <phoneticPr fontId="1" type="noConversion"/>
  </si>
  <si>
    <t>莫斯科</t>
    <phoneticPr fontId="1" type="noConversion"/>
  </si>
  <si>
    <t>女裤/连衣裙</t>
    <phoneticPr fontId="1" type="noConversion"/>
  </si>
  <si>
    <t>女棉服15.5kg</t>
    <phoneticPr fontId="1" type="noConversion"/>
  </si>
  <si>
    <t>女棉服/童棉服/男毛衣</t>
    <phoneticPr fontId="1" type="noConversion"/>
  </si>
  <si>
    <t>男毛衣38kg</t>
    <phoneticPr fontId="1" type="noConversion"/>
  </si>
  <si>
    <t>女毛衣/男毛衣/连衣裙/小衫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</si>
</sst>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&quot;￥&quot;#,##0;[Red]&quot;￥&quot;#,##0"/>
  </numFmts>
  <fonts count="10">
    <font>
      <sz val="11"/>
      <color theme="1"/>
      <name val="宋体"/>
      <family val="2"/>
      <charset val="134"/>
      <scheme val="minor"/>
    </font>
    <font>
      <b/>
      <sz val="18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4"/>
      <color rgb="FF000000"/>
      <name val="微软雅黑"/>
      <charset val="134"/>
    </font>
    <font>
      <b/>
      <sz val="16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6"/>
      <color rgb="FF000000"/>
      <name val="宋体"/>
      <family val="3"/>
      <charset val="134"/>
    </font>
    <font>
      <b/>
      <sz val="12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1" fontId="0" fillId="0" borderId="0" xfId="0" applyNumberFormat="1">
      <alignment vertical="center"/>
    </xf>
    <xf numFmtId="0" fontId="9" fillId="0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4888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topLeftCell="F1" workbookViewId="0">
      <selection activeCell="O9" sqref="O9"/>
    </sheetView>
  </sheetViews>
  <sheetFormatPr defaultRowHeight="13.5"/>
  <cols>
    <col min="1" max="1" width="10" customWidth="1"/>
    <col min="2" max="2" width="9.75" customWidth="1"/>
    <col min="3" max="3" width="11.125" customWidth="1"/>
    <col min="4" max="4" width="6.25" customWidth="1"/>
    <col min="5" max="5" width="11.5" customWidth="1"/>
    <col min="6" max="6" width="7.375" customWidth="1"/>
    <col min="7" max="7" width="8.875" customWidth="1"/>
    <col min="8" max="9" width="10" customWidth="1"/>
    <col min="10" max="10" width="7.25" customWidth="1"/>
    <col min="11" max="11" width="6.875" customWidth="1"/>
    <col min="12" max="12" width="9.5" customWidth="1"/>
    <col min="13" max="13" width="22.25" customWidth="1"/>
    <col min="15" max="15" width="25.875" customWidth="1"/>
  </cols>
  <sheetData>
    <row r="1" spans="1:21" ht="26.25" customHeigh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21" ht="26.25" customHeight="1">
      <c r="A2" s="2"/>
      <c r="B2" s="21" t="s">
        <v>1</v>
      </c>
      <c r="C2" s="23"/>
      <c r="D2" s="21" t="s">
        <v>2</v>
      </c>
      <c r="E2" s="22"/>
      <c r="F2" s="21" t="s">
        <v>3</v>
      </c>
      <c r="G2" s="23"/>
      <c r="H2" s="13" t="s">
        <v>76</v>
      </c>
      <c r="I2" s="15"/>
      <c r="J2" s="13" t="s">
        <v>4</v>
      </c>
      <c r="K2" s="14"/>
      <c r="L2" s="15"/>
      <c r="M2" s="6" t="s">
        <v>5</v>
      </c>
    </row>
    <row r="3" spans="1:21" ht="24.75" customHeight="1">
      <c r="A3" s="3" t="s">
        <v>77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75</v>
      </c>
      <c r="J3" s="5" t="s">
        <v>13</v>
      </c>
      <c r="K3" s="5" t="s">
        <v>14</v>
      </c>
      <c r="L3" s="5" t="s">
        <v>15</v>
      </c>
      <c r="M3" s="5" t="s">
        <v>16</v>
      </c>
    </row>
    <row r="4" spans="1:21" ht="24" customHeight="1">
      <c r="A4" s="4" t="s">
        <v>78</v>
      </c>
      <c r="B4" s="7" t="s">
        <v>26</v>
      </c>
      <c r="C4" s="7" t="s">
        <v>27</v>
      </c>
      <c r="D4" s="8">
        <v>1</v>
      </c>
      <c r="E4" s="7" t="s">
        <v>28</v>
      </c>
      <c r="F4" s="9">
        <v>55</v>
      </c>
      <c r="G4" s="10">
        <v>220</v>
      </c>
      <c r="H4" s="10">
        <f>F4*G4</f>
        <v>12100</v>
      </c>
      <c r="I4" s="7">
        <v>1952</v>
      </c>
      <c r="J4" s="7">
        <v>80</v>
      </c>
      <c r="K4" s="7">
        <v>0.39300000000000002</v>
      </c>
      <c r="L4" s="7" t="s">
        <v>29</v>
      </c>
      <c r="M4" s="7"/>
      <c r="O4" t="str">
        <f>B4&amp;"-1007-"&amp;D4</f>
        <v>MS12466-1007-1</v>
      </c>
      <c r="P4" s="27">
        <f>D4</f>
        <v>1</v>
      </c>
      <c r="Q4">
        <f>J4</f>
        <v>80</v>
      </c>
      <c r="R4">
        <f>K4</f>
        <v>0.39300000000000002</v>
      </c>
      <c r="S4" s="11" t="s">
        <v>28</v>
      </c>
      <c r="T4" s="9">
        <v>55</v>
      </c>
      <c r="U4" s="11">
        <v>1952</v>
      </c>
    </row>
    <row r="5" spans="1:21" ht="24" customHeight="1">
      <c r="A5" s="4" t="s">
        <v>78</v>
      </c>
      <c r="B5" s="18" t="s">
        <v>30</v>
      </c>
      <c r="C5" s="18" t="s">
        <v>31</v>
      </c>
      <c r="D5" s="16">
        <v>1</v>
      </c>
      <c r="E5" s="7" t="s">
        <v>28</v>
      </c>
      <c r="F5" s="9">
        <v>18</v>
      </c>
      <c r="G5" s="10">
        <v>360</v>
      </c>
      <c r="H5" s="10">
        <f t="shared" ref="H5:H7" si="0">F5*G5</f>
        <v>6480</v>
      </c>
      <c r="I5" s="7">
        <v>1045</v>
      </c>
      <c r="J5" s="12">
        <v>83</v>
      </c>
      <c r="K5" s="12">
        <v>0.57799999999999996</v>
      </c>
      <c r="L5" s="7" t="s">
        <v>32</v>
      </c>
      <c r="M5" s="12"/>
      <c r="O5" t="str">
        <f>B5&amp;"-1008-"&amp;D5</f>
        <v>MS12238-1008-1</v>
      </c>
      <c r="P5" s="27">
        <f>D5</f>
        <v>1</v>
      </c>
      <c r="Q5">
        <f>J5</f>
        <v>83</v>
      </c>
      <c r="R5">
        <f>K5</f>
        <v>0.57799999999999996</v>
      </c>
      <c r="S5" s="11" t="s">
        <v>28</v>
      </c>
      <c r="T5">
        <v>48</v>
      </c>
      <c r="U5">
        <v>3106</v>
      </c>
    </row>
    <row r="6" spans="1:21" ht="24" customHeight="1">
      <c r="A6" s="4" t="s">
        <v>78</v>
      </c>
      <c r="B6" s="19"/>
      <c r="C6" s="19"/>
      <c r="D6" s="16"/>
      <c r="E6" s="7" t="s">
        <v>28</v>
      </c>
      <c r="F6" s="9">
        <v>18</v>
      </c>
      <c r="G6" s="10">
        <v>390</v>
      </c>
      <c r="H6" s="10">
        <f t="shared" si="0"/>
        <v>7020</v>
      </c>
      <c r="I6" s="7">
        <v>1132</v>
      </c>
      <c r="J6" s="12"/>
      <c r="K6" s="12"/>
      <c r="L6" s="7" t="s">
        <v>32</v>
      </c>
      <c r="M6" s="12"/>
    </row>
    <row r="7" spans="1:21" ht="24" customHeight="1">
      <c r="A7" s="4" t="s">
        <v>78</v>
      </c>
      <c r="B7" s="20"/>
      <c r="C7" s="20"/>
      <c r="D7" s="16"/>
      <c r="E7" s="7" t="s">
        <v>28</v>
      </c>
      <c r="F7" s="9">
        <v>12</v>
      </c>
      <c r="G7" s="10">
        <v>480</v>
      </c>
      <c r="H7" s="10">
        <f t="shared" si="0"/>
        <v>5760</v>
      </c>
      <c r="I7" s="7">
        <v>929</v>
      </c>
      <c r="J7" s="12"/>
      <c r="K7" s="12"/>
      <c r="L7" s="7"/>
      <c r="M7" s="12"/>
    </row>
    <row r="8" spans="1:21" ht="24" customHeight="1">
      <c r="A8" s="4" t="s">
        <v>78</v>
      </c>
      <c r="B8" s="12" t="s">
        <v>36</v>
      </c>
      <c r="C8" s="12" t="s">
        <v>31</v>
      </c>
      <c r="D8" s="16">
        <v>1</v>
      </c>
      <c r="E8" s="7" t="s">
        <v>37</v>
      </c>
      <c r="F8" s="9">
        <v>5</v>
      </c>
      <c r="G8" s="10"/>
      <c r="H8" s="24">
        <v>36970</v>
      </c>
      <c r="I8" s="18">
        <v>5963</v>
      </c>
      <c r="J8" s="12">
        <v>88.5</v>
      </c>
      <c r="K8" s="12">
        <v>0.35899999999999999</v>
      </c>
      <c r="L8" s="7" t="s">
        <v>38</v>
      </c>
      <c r="M8" s="12"/>
      <c r="O8" t="str">
        <f>B8&amp;"-1008-"&amp;D8</f>
        <v>ML711-1008-1</v>
      </c>
      <c r="P8" s="27">
        <f>D8</f>
        <v>1</v>
      </c>
      <c r="Q8">
        <f>J8</f>
        <v>88.5</v>
      </c>
      <c r="R8">
        <f>K8</f>
        <v>0.35899999999999999</v>
      </c>
      <c r="S8" s="11" t="s">
        <v>79</v>
      </c>
      <c r="T8">
        <v>157</v>
      </c>
      <c r="U8">
        <v>5963</v>
      </c>
    </row>
    <row r="9" spans="1:21" ht="24" customHeight="1">
      <c r="A9" s="4" t="s">
        <v>78</v>
      </c>
      <c r="B9" s="12"/>
      <c r="C9" s="12"/>
      <c r="D9" s="16"/>
      <c r="E9" s="7" t="s">
        <v>39</v>
      </c>
      <c r="F9" s="9">
        <v>132</v>
      </c>
      <c r="G9" s="10"/>
      <c r="H9" s="25"/>
      <c r="I9" s="19"/>
      <c r="J9" s="12"/>
      <c r="K9" s="12"/>
      <c r="L9" s="7" t="s">
        <v>38</v>
      </c>
      <c r="M9" s="12"/>
    </row>
    <row r="10" spans="1:21" ht="24" customHeight="1">
      <c r="A10" s="4" t="s">
        <v>78</v>
      </c>
      <c r="B10" s="12"/>
      <c r="C10" s="12"/>
      <c r="D10" s="16"/>
      <c r="E10" s="7" t="s">
        <v>37</v>
      </c>
      <c r="F10" s="9">
        <v>20</v>
      </c>
      <c r="G10" s="10"/>
      <c r="H10" s="26"/>
      <c r="I10" s="20"/>
      <c r="J10" s="12"/>
      <c r="K10" s="12"/>
      <c r="L10" s="7" t="s">
        <v>38</v>
      </c>
      <c r="M10" s="12"/>
    </row>
    <row r="11" spans="1:21" ht="24" customHeight="1">
      <c r="A11" s="4" t="s">
        <v>78</v>
      </c>
      <c r="B11" s="12" t="s">
        <v>40</v>
      </c>
      <c r="C11" s="12" t="s">
        <v>31</v>
      </c>
      <c r="D11" s="16">
        <v>1</v>
      </c>
      <c r="E11" s="11" t="s">
        <v>80</v>
      </c>
      <c r="F11" s="9">
        <v>6</v>
      </c>
      <c r="G11" s="10"/>
      <c r="H11" s="24">
        <v>4460</v>
      </c>
      <c r="I11" s="18">
        <v>719</v>
      </c>
      <c r="J11" s="12">
        <v>93</v>
      </c>
      <c r="K11" s="12">
        <v>0.68899999999999995</v>
      </c>
      <c r="L11" s="7" t="s">
        <v>41</v>
      </c>
      <c r="M11" s="12"/>
      <c r="O11" t="str">
        <f>B11&amp;"/"&amp;B13&amp;"/"&amp;B14&amp;"/"&amp;B19&amp;"-1007-"&amp;D11</f>
        <v>MS0592/MS6393/MS12397/MS0008-1007-1</v>
      </c>
      <c r="P11" s="27">
        <f>D11</f>
        <v>1</v>
      </c>
      <c r="Q11">
        <f>J11</f>
        <v>93</v>
      </c>
      <c r="R11">
        <f>K11</f>
        <v>0.68899999999999995</v>
      </c>
      <c r="S11" t="s">
        <v>81</v>
      </c>
      <c r="T11">
        <v>114</v>
      </c>
      <c r="U11">
        <v>2503</v>
      </c>
    </row>
    <row r="12" spans="1:21" ht="24" customHeight="1">
      <c r="A12" s="4" t="s">
        <v>78</v>
      </c>
      <c r="B12" s="12"/>
      <c r="C12" s="12"/>
      <c r="D12" s="16"/>
      <c r="E12" s="7" t="s">
        <v>28</v>
      </c>
      <c r="F12" s="9">
        <v>6</v>
      </c>
      <c r="G12" s="10"/>
      <c r="H12" s="26"/>
      <c r="I12" s="20"/>
      <c r="J12" s="12"/>
      <c r="K12" s="12"/>
      <c r="L12" s="7" t="s">
        <v>41</v>
      </c>
      <c r="M12" s="12"/>
    </row>
    <row r="13" spans="1:21" ht="24" customHeight="1">
      <c r="A13" s="4" t="s">
        <v>78</v>
      </c>
      <c r="B13" s="7" t="s">
        <v>42</v>
      </c>
      <c r="C13" s="7" t="s">
        <v>31</v>
      </c>
      <c r="D13" s="16"/>
      <c r="E13" s="7" t="s">
        <v>43</v>
      </c>
      <c r="F13" s="9">
        <v>13</v>
      </c>
      <c r="G13" s="10">
        <v>250</v>
      </c>
      <c r="H13" s="10">
        <f>F13*G13</f>
        <v>3250</v>
      </c>
      <c r="I13" s="7">
        <v>524</v>
      </c>
      <c r="J13" s="12"/>
      <c r="K13" s="12"/>
      <c r="L13" s="7" t="s">
        <v>44</v>
      </c>
      <c r="M13" s="12"/>
    </row>
    <row r="14" spans="1:21" ht="24" customHeight="1">
      <c r="A14" s="4" t="s">
        <v>78</v>
      </c>
      <c r="B14" s="12" t="s">
        <v>45</v>
      </c>
      <c r="C14" s="12" t="s">
        <v>27</v>
      </c>
      <c r="D14" s="16"/>
      <c r="E14" s="7" t="s">
        <v>46</v>
      </c>
      <c r="F14" s="9">
        <v>4</v>
      </c>
      <c r="G14" s="10"/>
      <c r="H14" s="24">
        <v>4210</v>
      </c>
      <c r="I14" s="18">
        <v>679</v>
      </c>
      <c r="J14" s="12"/>
      <c r="K14" s="12"/>
      <c r="L14" s="7" t="s">
        <v>47</v>
      </c>
      <c r="M14" s="12"/>
    </row>
    <row r="15" spans="1:21" ht="24" customHeight="1">
      <c r="A15" s="4" t="s">
        <v>78</v>
      </c>
      <c r="B15" s="12"/>
      <c r="C15" s="12"/>
      <c r="D15" s="16"/>
      <c r="E15" s="7" t="s">
        <v>48</v>
      </c>
      <c r="F15" s="9">
        <v>5</v>
      </c>
      <c r="G15" s="10"/>
      <c r="H15" s="25"/>
      <c r="I15" s="19"/>
      <c r="J15" s="12"/>
      <c r="K15" s="12"/>
      <c r="L15" s="7" t="s">
        <v>49</v>
      </c>
      <c r="M15" s="12"/>
    </row>
    <row r="16" spans="1:21" ht="24" customHeight="1">
      <c r="A16" s="4" t="s">
        <v>78</v>
      </c>
      <c r="B16" s="12"/>
      <c r="C16" s="12"/>
      <c r="D16" s="16"/>
      <c r="E16" s="7" t="s">
        <v>50</v>
      </c>
      <c r="F16" s="9">
        <v>5</v>
      </c>
      <c r="G16" s="10"/>
      <c r="H16" s="25"/>
      <c r="I16" s="19"/>
      <c r="J16" s="12"/>
      <c r="K16" s="12"/>
      <c r="L16" s="7" t="s">
        <v>51</v>
      </c>
      <c r="M16" s="12"/>
    </row>
    <row r="17" spans="1:21" ht="24" customHeight="1">
      <c r="A17" s="4" t="s">
        <v>78</v>
      </c>
      <c r="B17" s="12"/>
      <c r="C17" s="12"/>
      <c r="D17" s="16"/>
      <c r="E17" s="7" t="s">
        <v>48</v>
      </c>
      <c r="F17" s="9">
        <v>10</v>
      </c>
      <c r="G17" s="10"/>
      <c r="H17" s="25"/>
      <c r="I17" s="19"/>
      <c r="J17" s="12"/>
      <c r="K17" s="12"/>
      <c r="L17" s="7" t="s">
        <v>52</v>
      </c>
      <c r="M17" s="12"/>
    </row>
    <row r="18" spans="1:21" ht="24" customHeight="1">
      <c r="A18" s="4" t="s">
        <v>78</v>
      </c>
      <c r="B18" s="12"/>
      <c r="C18" s="12"/>
      <c r="D18" s="16"/>
      <c r="E18" s="7" t="s">
        <v>50</v>
      </c>
      <c r="F18" s="9">
        <v>5</v>
      </c>
      <c r="G18" s="10"/>
      <c r="H18" s="26"/>
      <c r="I18" s="20"/>
      <c r="J18" s="12"/>
      <c r="K18" s="12"/>
      <c r="L18" s="7" t="s">
        <v>53</v>
      </c>
      <c r="M18" s="12"/>
    </row>
    <row r="19" spans="1:21" ht="24" customHeight="1">
      <c r="A19" s="4" t="s">
        <v>78</v>
      </c>
      <c r="B19" s="7" t="s">
        <v>54</v>
      </c>
      <c r="C19" s="7" t="s">
        <v>31</v>
      </c>
      <c r="D19" s="16"/>
      <c r="E19" s="7" t="s">
        <v>55</v>
      </c>
      <c r="F19" s="9">
        <v>60</v>
      </c>
      <c r="G19" s="10">
        <v>60</v>
      </c>
      <c r="H19" s="10">
        <f>F19*G19</f>
        <v>3600</v>
      </c>
      <c r="I19" s="7">
        <v>581</v>
      </c>
      <c r="J19" s="12"/>
      <c r="K19" s="12"/>
      <c r="L19" s="7" t="s">
        <v>56</v>
      </c>
      <c r="M19" s="12"/>
    </row>
    <row r="20" spans="1:21" ht="24" customHeight="1">
      <c r="A20" s="4" t="s">
        <v>78</v>
      </c>
      <c r="B20" s="7" t="s">
        <v>57</v>
      </c>
      <c r="C20" s="7" t="s">
        <v>31</v>
      </c>
      <c r="D20" s="16">
        <v>1</v>
      </c>
      <c r="E20" s="7" t="s">
        <v>58</v>
      </c>
      <c r="F20" s="9">
        <v>12</v>
      </c>
      <c r="G20" s="10"/>
      <c r="H20" s="10">
        <v>1000</v>
      </c>
      <c r="I20" s="7">
        <v>161</v>
      </c>
      <c r="J20" s="12">
        <v>84</v>
      </c>
      <c r="K20" s="12">
        <v>0.47099999999999997</v>
      </c>
      <c r="L20" s="7" t="s">
        <v>59</v>
      </c>
      <c r="M20" s="12"/>
      <c r="O20" t="str">
        <f>B20&amp;"/"&amp;B21&amp;"/"&amp;B23&amp;"/"&amp;B27&amp;"-1008-"&amp;D20</f>
        <v>MS0670/ML0504/MS0545/MS0670-1008-1</v>
      </c>
      <c r="P20" s="27">
        <f>D20</f>
        <v>1</v>
      </c>
      <c r="Q20">
        <f>J20</f>
        <v>84</v>
      </c>
      <c r="R20">
        <f>K20</f>
        <v>0.47099999999999997</v>
      </c>
      <c r="S20" s="11" t="s">
        <v>83</v>
      </c>
      <c r="T20">
        <v>160</v>
      </c>
      <c r="U20">
        <v>2598</v>
      </c>
    </row>
    <row r="21" spans="1:21" ht="24" customHeight="1">
      <c r="A21" s="4" t="s">
        <v>78</v>
      </c>
      <c r="B21" s="12" t="s">
        <v>60</v>
      </c>
      <c r="C21" s="12" t="s">
        <v>31</v>
      </c>
      <c r="D21" s="16"/>
      <c r="E21" s="11" t="s">
        <v>82</v>
      </c>
      <c r="F21" s="9">
        <v>27</v>
      </c>
      <c r="G21" s="10"/>
      <c r="H21" s="24">
        <v>2450</v>
      </c>
      <c r="I21" s="18">
        <v>395</v>
      </c>
      <c r="J21" s="12"/>
      <c r="K21" s="12"/>
      <c r="L21" s="7" t="s">
        <v>61</v>
      </c>
      <c r="M21" s="12"/>
    </row>
    <row r="22" spans="1:21" ht="24" customHeight="1">
      <c r="A22" s="4" t="s">
        <v>78</v>
      </c>
      <c r="B22" s="12"/>
      <c r="C22" s="12"/>
      <c r="D22" s="16"/>
      <c r="E22" s="7" t="s">
        <v>62</v>
      </c>
      <c r="F22" s="9">
        <v>8</v>
      </c>
      <c r="G22" s="10"/>
      <c r="H22" s="26"/>
      <c r="I22" s="20"/>
      <c r="J22" s="12"/>
      <c r="K22" s="12"/>
      <c r="L22" s="7" t="s">
        <v>61</v>
      </c>
      <c r="M22" s="12"/>
    </row>
    <row r="23" spans="1:21" ht="24" customHeight="1">
      <c r="A23" s="4" t="s">
        <v>78</v>
      </c>
      <c r="B23" s="18" t="s">
        <v>63</v>
      </c>
      <c r="C23" s="18" t="s">
        <v>31</v>
      </c>
      <c r="D23" s="16"/>
      <c r="E23" s="7" t="s">
        <v>64</v>
      </c>
      <c r="F23" s="9">
        <v>15</v>
      </c>
      <c r="G23" s="10">
        <v>200</v>
      </c>
      <c r="H23" s="10">
        <f t="shared" ref="H23:H27" si="1">F23*G23</f>
        <v>3000</v>
      </c>
      <c r="I23" s="7">
        <v>484</v>
      </c>
      <c r="J23" s="12"/>
      <c r="K23" s="12"/>
      <c r="L23" s="7" t="s">
        <v>65</v>
      </c>
      <c r="M23" s="12"/>
    </row>
    <row r="24" spans="1:21" ht="24" customHeight="1">
      <c r="A24" s="4" t="s">
        <v>78</v>
      </c>
      <c r="B24" s="19"/>
      <c r="C24" s="19"/>
      <c r="D24" s="16"/>
      <c r="E24" s="7" t="s">
        <v>66</v>
      </c>
      <c r="F24" s="9">
        <v>2</v>
      </c>
      <c r="G24" s="10">
        <v>200</v>
      </c>
      <c r="H24" s="10">
        <f t="shared" si="1"/>
        <v>400</v>
      </c>
      <c r="I24" s="7">
        <v>65</v>
      </c>
      <c r="J24" s="12"/>
      <c r="K24" s="12"/>
      <c r="L24" s="7" t="s">
        <v>67</v>
      </c>
      <c r="M24" s="12"/>
    </row>
    <row r="25" spans="1:21" ht="24" customHeight="1">
      <c r="A25" s="4" t="s">
        <v>78</v>
      </c>
      <c r="B25" s="19"/>
      <c r="C25" s="19"/>
      <c r="D25" s="16"/>
      <c r="E25" s="7" t="s">
        <v>68</v>
      </c>
      <c r="F25" s="9">
        <v>26</v>
      </c>
      <c r="G25" s="10">
        <v>90</v>
      </c>
      <c r="H25" s="10">
        <f t="shared" si="1"/>
        <v>2340</v>
      </c>
      <c r="I25" s="7">
        <v>377</v>
      </c>
      <c r="J25" s="12"/>
      <c r="K25" s="12"/>
      <c r="L25" s="7" t="s">
        <v>69</v>
      </c>
      <c r="M25" s="12"/>
    </row>
    <row r="26" spans="1:21" ht="24" customHeight="1">
      <c r="A26" s="4" t="s">
        <v>78</v>
      </c>
      <c r="B26" s="20"/>
      <c r="C26" s="20"/>
      <c r="D26" s="16"/>
      <c r="E26" s="7" t="s">
        <v>70</v>
      </c>
      <c r="F26" s="9">
        <v>8</v>
      </c>
      <c r="G26" s="10">
        <v>90</v>
      </c>
      <c r="H26" s="10">
        <f t="shared" si="1"/>
        <v>720</v>
      </c>
      <c r="I26" s="7">
        <v>116</v>
      </c>
      <c r="J26" s="12"/>
      <c r="K26" s="12"/>
      <c r="L26" s="7" t="s">
        <v>69</v>
      </c>
      <c r="M26" s="12"/>
    </row>
    <row r="27" spans="1:21" ht="24" customHeight="1">
      <c r="A27" s="4" t="s">
        <v>78</v>
      </c>
      <c r="B27" s="12" t="s">
        <v>57</v>
      </c>
      <c r="C27" s="12" t="s">
        <v>31</v>
      </c>
      <c r="D27" s="16"/>
      <c r="E27" s="7" t="s">
        <v>71</v>
      </c>
      <c r="F27" s="9">
        <v>4</v>
      </c>
      <c r="G27" s="10">
        <v>100</v>
      </c>
      <c r="H27" s="10">
        <f t="shared" si="1"/>
        <v>400</v>
      </c>
      <c r="I27" s="7">
        <v>65</v>
      </c>
      <c r="J27" s="12"/>
      <c r="K27" s="12"/>
      <c r="L27" s="7" t="s">
        <v>72</v>
      </c>
      <c r="M27" s="12"/>
    </row>
    <row r="28" spans="1:21" ht="24" customHeight="1">
      <c r="A28" s="4" t="s">
        <v>78</v>
      </c>
      <c r="B28" s="12"/>
      <c r="C28" s="12"/>
      <c r="D28" s="16"/>
      <c r="E28" s="7" t="s">
        <v>73</v>
      </c>
      <c r="F28" s="9">
        <v>58</v>
      </c>
      <c r="G28" s="10">
        <v>100</v>
      </c>
      <c r="H28" s="10">
        <f>F28*G28</f>
        <v>5800</v>
      </c>
      <c r="I28" s="7">
        <v>935</v>
      </c>
      <c r="J28" s="12"/>
      <c r="K28" s="12"/>
      <c r="L28" s="7" t="s">
        <v>72</v>
      </c>
      <c r="M28" s="12"/>
    </row>
    <row r="29" spans="1:21" ht="24" customHeight="1">
      <c r="A29" s="4" t="s">
        <v>78</v>
      </c>
      <c r="B29" s="7" t="s">
        <v>17</v>
      </c>
      <c r="C29" s="7" t="s">
        <v>18</v>
      </c>
      <c r="D29" s="8">
        <v>2</v>
      </c>
      <c r="E29" s="7" t="s">
        <v>19</v>
      </c>
      <c r="F29" s="9" t="s">
        <v>74</v>
      </c>
      <c r="G29" s="10"/>
      <c r="H29" s="10">
        <v>18600</v>
      </c>
      <c r="I29" s="7">
        <v>3000</v>
      </c>
      <c r="J29" s="7">
        <v>129.6</v>
      </c>
      <c r="K29" s="7">
        <v>0.76300000000000001</v>
      </c>
      <c r="L29" s="7" t="s">
        <v>20</v>
      </c>
      <c r="M29" s="7" t="s">
        <v>21</v>
      </c>
      <c r="O29" t="str">
        <f>B29&amp;"-1006-"&amp;D29</f>
        <v>GMT0369-1006-2</v>
      </c>
      <c r="P29" s="27">
        <f>D29</f>
        <v>2</v>
      </c>
      <c r="Q29">
        <f>J29</f>
        <v>129.6</v>
      </c>
      <c r="R29">
        <f>K29</f>
        <v>0.76300000000000001</v>
      </c>
      <c r="S29" s="11" t="s">
        <v>19</v>
      </c>
      <c r="T29" s="9" t="s">
        <v>74</v>
      </c>
      <c r="U29" s="11">
        <v>3000</v>
      </c>
    </row>
    <row r="30" spans="1:21" ht="24" customHeight="1">
      <c r="A30" s="4" t="s">
        <v>78</v>
      </c>
      <c r="B30" s="7" t="s">
        <v>22</v>
      </c>
      <c r="C30" s="7" t="s">
        <v>18</v>
      </c>
      <c r="D30" s="8">
        <v>1</v>
      </c>
      <c r="E30" s="7" t="s">
        <v>23</v>
      </c>
      <c r="F30" s="9">
        <v>220</v>
      </c>
      <c r="G30" s="10"/>
      <c r="H30" s="10">
        <v>6725</v>
      </c>
      <c r="I30" s="7">
        <v>1085</v>
      </c>
      <c r="J30" s="7">
        <v>30.6</v>
      </c>
      <c r="K30" s="7">
        <v>0.14199999999999999</v>
      </c>
      <c r="L30" s="7" t="s">
        <v>20</v>
      </c>
      <c r="M30" s="7"/>
      <c r="O30" t="str">
        <f>B30&amp;"-1006-"&amp;D30</f>
        <v>GMS6629-1006-1</v>
      </c>
      <c r="P30" s="27">
        <f>D30</f>
        <v>1</v>
      </c>
      <c r="Q30">
        <f>J30</f>
        <v>30.6</v>
      </c>
      <c r="R30">
        <f>K30</f>
        <v>0.14199999999999999</v>
      </c>
      <c r="S30" s="11" t="s">
        <v>23</v>
      </c>
      <c r="T30" s="9">
        <v>220</v>
      </c>
      <c r="U30" s="11">
        <v>1085</v>
      </c>
    </row>
    <row r="31" spans="1:21" ht="24" customHeight="1">
      <c r="A31" s="4" t="s">
        <v>78</v>
      </c>
      <c r="B31" s="7" t="s">
        <v>24</v>
      </c>
      <c r="C31" s="7" t="s">
        <v>18</v>
      </c>
      <c r="D31" s="8">
        <v>2</v>
      </c>
      <c r="E31" s="7" t="s">
        <v>19</v>
      </c>
      <c r="F31" s="9" t="s">
        <v>74</v>
      </c>
      <c r="G31" s="10"/>
      <c r="H31" s="10">
        <v>13640</v>
      </c>
      <c r="I31" s="7">
        <v>2200</v>
      </c>
      <c r="J31" s="7">
        <v>158.4</v>
      </c>
      <c r="K31" s="7">
        <v>0.90100000000000002</v>
      </c>
      <c r="L31" s="7" t="s">
        <v>20</v>
      </c>
      <c r="M31" s="7" t="s">
        <v>25</v>
      </c>
      <c r="O31" t="str">
        <f>B31&amp;"-1006-"&amp;D31</f>
        <v>GMT0450-1006-2</v>
      </c>
      <c r="P31" s="27">
        <f>D31</f>
        <v>2</v>
      </c>
      <c r="Q31">
        <f>J31</f>
        <v>158.4</v>
      </c>
      <c r="R31">
        <f>K31</f>
        <v>0.90100000000000002</v>
      </c>
      <c r="S31" s="11" t="s">
        <v>19</v>
      </c>
      <c r="T31" s="9" t="s">
        <v>74</v>
      </c>
      <c r="U31" s="11">
        <v>2200</v>
      </c>
    </row>
    <row r="32" spans="1:21" ht="24" customHeight="1">
      <c r="A32" s="4" t="s">
        <v>78</v>
      </c>
      <c r="B32" s="12" t="s">
        <v>33</v>
      </c>
      <c r="C32" s="12" t="s">
        <v>31</v>
      </c>
      <c r="D32" s="16">
        <v>1</v>
      </c>
      <c r="E32" s="7" t="s">
        <v>34</v>
      </c>
      <c r="F32" s="9">
        <v>14</v>
      </c>
      <c r="G32" s="10">
        <v>110</v>
      </c>
      <c r="H32" s="10">
        <f t="shared" ref="H32:H34" si="2">F32*G32</f>
        <v>1540</v>
      </c>
      <c r="I32" s="7">
        <v>248</v>
      </c>
      <c r="J32" s="12">
        <v>46</v>
      </c>
      <c r="K32" s="12">
        <v>0.438</v>
      </c>
      <c r="L32" s="7" t="s">
        <v>35</v>
      </c>
      <c r="M32" s="12"/>
      <c r="O32" t="str">
        <f>B32&amp;"-1008-"&amp;D32</f>
        <v>MS12531-1008-1</v>
      </c>
      <c r="P32" s="27">
        <f>D32</f>
        <v>1</v>
      </c>
      <c r="Q32">
        <f>J32</f>
        <v>46</v>
      </c>
      <c r="R32">
        <f>K32</f>
        <v>0.438</v>
      </c>
      <c r="S32" s="11" t="s">
        <v>34</v>
      </c>
      <c r="T32">
        <v>51</v>
      </c>
      <c r="U32" s="28">
        <v>905</v>
      </c>
    </row>
    <row r="33" spans="1:13" ht="24" customHeight="1">
      <c r="A33" s="4" t="s">
        <v>78</v>
      </c>
      <c r="B33" s="12"/>
      <c r="C33" s="12"/>
      <c r="D33" s="16"/>
      <c r="E33" s="7" t="s">
        <v>34</v>
      </c>
      <c r="F33" s="9">
        <v>20</v>
      </c>
      <c r="G33" s="10">
        <v>110</v>
      </c>
      <c r="H33" s="10">
        <f t="shared" si="2"/>
        <v>2200</v>
      </c>
      <c r="I33" s="7">
        <v>355</v>
      </c>
      <c r="J33" s="12"/>
      <c r="K33" s="12"/>
      <c r="L33" s="7" t="s">
        <v>35</v>
      </c>
      <c r="M33" s="12"/>
    </row>
    <row r="34" spans="1:13" ht="24" customHeight="1">
      <c r="A34" s="4" t="s">
        <v>78</v>
      </c>
      <c r="B34" s="12"/>
      <c r="C34" s="12"/>
      <c r="D34" s="16"/>
      <c r="E34" s="7" t="s">
        <v>34</v>
      </c>
      <c r="F34" s="9">
        <v>17</v>
      </c>
      <c r="G34" s="10">
        <v>110</v>
      </c>
      <c r="H34" s="10">
        <f t="shared" si="2"/>
        <v>1870</v>
      </c>
      <c r="I34" s="7">
        <v>302</v>
      </c>
      <c r="J34" s="12"/>
      <c r="K34" s="12"/>
      <c r="L34" s="7" t="s">
        <v>35</v>
      </c>
      <c r="M34" s="12"/>
    </row>
    <row r="35" spans="1:13" ht="24" customHeight="1"/>
    <row r="36" spans="1:13" ht="24" customHeight="1"/>
    <row r="37" spans="1:13" ht="24" customHeight="1"/>
    <row r="38" spans="1:13" ht="24" customHeight="1"/>
    <row r="39" spans="1:13" ht="24" customHeight="1"/>
    <row r="40" spans="1:13" ht="24" customHeight="1"/>
    <row r="41" spans="1:13" ht="24" customHeight="1"/>
    <row r="42" spans="1:13" ht="24" customHeight="1"/>
    <row r="43" spans="1:13" ht="24" customHeight="1"/>
    <row r="44" spans="1:13" ht="24" customHeight="1"/>
    <row r="45" spans="1:13" ht="24" customHeight="1"/>
    <row r="46" spans="1:13" ht="24" customHeight="1"/>
    <row r="47" spans="1:13" ht="24" customHeight="1"/>
    <row r="48" spans="1:13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</sheetData>
  <mergeCells count="50">
    <mergeCell ref="B21:B22"/>
    <mergeCell ref="C21:C22"/>
    <mergeCell ref="M20:M28"/>
    <mergeCell ref="H14:H18"/>
    <mergeCell ref="H11:H12"/>
    <mergeCell ref="B23:B26"/>
    <mergeCell ref="H21:H22"/>
    <mergeCell ref="B14:B18"/>
    <mergeCell ref="C14:C18"/>
    <mergeCell ref="D20:D28"/>
    <mergeCell ref="J20:J28"/>
    <mergeCell ref="K20:K28"/>
    <mergeCell ref="B27:B28"/>
    <mergeCell ref="C27:C28"/>
    <mergeCell ref="C23:C26"/>
    <mergeCell ref="I14:I18"/>
    <mergeCell ref="B8:B10"/>
    <mergeCell ref="C8:C10"/>
    <mergeCell ref="B11:B12"/>
    <mergeCell ref="C11:C12"/>
    <mergeCell ref="H8:H10"/>
    <mergeCell ref="D8:D10"/>
    <mergeCell ref="B32:B34"/>
    <mergeCell ref="C32:C34"/>
    <mergeCell ref="B1:M1"/>
    <mergeCell ref="C5:C7"/>
    <mergeCell ref="B5:B7"/>
    <mergeCell ref="H2:I2"/>
    <mergeCell ref="D2:E2"/>
    <mergeCell ref="F2:G2"/>
    <mergeCell ref="B2:C2"/>
    <mergeCell ref="D5:D7"/>
    <mergeCell ref="J5:J7"/>
    <mergeCell ref="K5:K7"/>
    <mergeCell ref="M5:M7"/>
    <mergeCell ref="D11:D19"/>
    <mergeCell ref="J11:J19"/>
    <mergeCell ref="K11:K19"/>
    <mergeCell ref="M8:M10"/>
    <mergeCell ref="J2:L2"/>
    <mergeCell ref="D32:D34"/>
    <mergeCell ref="J32:J34"/>
    <mergeCell ref="K32:K34"/>
    <mergeCell ref="M32:M34"/>
    <mergeCell ref="J8:J10"/>
    <mergeCell ref="K8:K10"/>
    <mergeCell ref="M11:M19"/>
    <mergeCell ref="I11:I12"/>
    <mergeCell ref="I8:I10"/>
    <mergeCell ref="I21:I22"/>
  </mergeCells>
  <phoneticPr fontId="1" type="noConversion"/>
  <printOptions verticalCentered="1"/>
  <pageMargins left="0.11811023622047" right="0.11811023622047" top="0.11811023622047" bottom="0.11811023622047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京258库飞机-第148单-2015-10-08-11包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cp:lastModifiedBy>Administrator</cp:lastModifiedBy>
  <dcterms:created xsi:type="dcterms:W3CDTF">2011-12-31T06:39:17Z</dcterms:created>
  <dcterms:modified xsi:type="dcterms:W3CDTF">2015-10-08T15:53:24Z</dcterms:modified>
</cp:coreProperties>
</file>