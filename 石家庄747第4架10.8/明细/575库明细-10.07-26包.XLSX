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8540" windowHeight="8520"/>
  </bookViews>
  <sheets>
    <sheet name="京258库飞机-第147单-2015-10-07-26包" sheetId="1" r:id="rId1"/>
  </sheets>
  <calcPr calcId="125725"/>
</workbook>
</file>

<file path=xl/calcChain.xml><?xml version="1.0" encoding="utf-8"?>
<calcChain xmlns="http://schemas.openxmlformats.org/spreadsheetml/2006/main">
  <c r="P24" i="1"/>
  <c r="P23"/>
  <c r="P14"/>
  <c r="P13"/>
  <c r="P12"/>
  <c r="P11"/>
  <c r="P10"/>
  <c r="S6"/>
  <c r="R6"/>
  <c r="Q6"/>
  <c r="P6"/>
  <c r="P32"/>
  <c r="S32"/>
  <c r="R32"/>
  <c r="Q32"/>
  <c r="S25"/>
  <c r="R25"/>
  <c r="Q25"/>
  <c r="P25"/>
  <c r="S24"/>
  <c r="R24"/>
  <c r="Q24"/>
  <c r="S23"/>
  <c r="R23"/>
  <c r="Q23"/>
  <c r="S21"/>
  <c r="R21"/>
  <c r="Q21"/>
  <c r="P21"/>
  <c r="S19"/>
  <c r="R19"/>
  <c r="Q19"/>
  <c r="P19"/>
  <c r="S15"/>
  <c r="R15"/>
  <c r="Q15"/>
  <c r="P15"/>
  <c r="S14"/>
  <c r="R14"/>
  <c r="Q14"/>
  <c r="S13"/>
  <c r="R13"/>
  <c r="Q13"/>
  <c r="S12"/>
  <c r="R12"/>
  <c r="Q12"/>
  <c r="S11"/>
  <c r="R11"/>
  <c r="Q11"/>
  <c r="S10"/>
  <c r="R10"/>
  <c r="Q10"/>
  <c r="S4"/>
  <c r="R4"/>
  <c r="Q4"/>
  <c r="P4"/>
  <c r="H40"/>
  <c r="G40"/>
  <c r="F40"/>
  <c r="I36"/>
  <c r="I35"/>
  <c r="I34"/>
  <c r="I33"/>
  <c r="I32"/>
  <c r="I23"/>
  <c r="I22"/>
  <c r="I21"/>
  <c r="I20"/>
  <c r="I19"/>
  <c r="I18"/>
  <c r="I17"/>
  <c r="I16"/>
  <c r="I15"/>
  <c r="I5"/>
  <c r="I4"/>
</calcChain>
</file>

<file path=xl/sharedStrings.xml><?xml version="1.0" encoding="utf-8"?>
<sst xmlns="http://schemas.openxmlformats.org/spreadsheetml/2006/main" count="176" uniqueCount="79">
  <si>
    <t>京258库飞机-第147单-2015-10-07-26包</t>
  </si>
  <si>
    <t>城市</t>
  </si>
  <si>
    <t>出库单位：258库飞机</t>
  </si>
  <si>
    <t>日期：2015-10-07</t>
  </si>
  <si>
    <t>总包数：26</t>
  </si>
  <si>
    <t>324113￥=52277$</t>
  </si>
  <si>
    <t>总数量：1282</t>
  </si>
  <si>
    <t>总重量：1617.2</t>
  </si>
  <si>
    <t>总体积：9.795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</si>
  <si>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</si>
  <si>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</si>
  <si>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</si>
  <si>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</si>
  <si>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</si>
  <si>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</si>
  <si>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</si>
  <si>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</si>
  <si>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</si>
  <si>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</si>
  <si>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</si>
  <si>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</si>
  <si>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</si>
  <si>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E5428</t>
  </si>
  <si>
    <t>2015-10-07</t>
  </si>
  <si>
    <t>男羽绒服</t>
  </si>
  <si>
    <t>HARRYBERTOIA</t>
  </si>
  <si>
    <t>E9222</t>
  </si>
  <si>
    <t>LAPLANDIA</t>
  </si>
  <si>
    <t>1）70.5kg-38件 2）63.5kg-40件 3）67kg-40件</t>
  </si>
  <si>
    <t>GMS7035</t>
  </si>
  <si>
    <t>2015-10-05</t>
  </si>
  <si>
    <t>男运动裤</t>
  </si>
  <si>
    <t>K</t>
  </si>
  <si>
    <t>2015-10-04</t>
  </si>
  <si>
    <t>成人服装</t>
  </si>
  <si>
    <t>1）55.8kg 2）57.2kg 3）49.6kg 4）59.4kg 5）56.8kg</t>
  </si>
  <si>
    <t>GMS0759</t>
  </si>
  <si>
    <t>-A</t>
  </si>
  <si>
    <t>GMS12310</t>
  </si>
  <si>
    <t>棉服</t>
  </si>
  <si>
    <t>GMT0369</t>
  </si>
  <si>
    <t>无件数</t>
  </si>
  <si>
    <t>MS0152</t>
  </si>
  <si>
    <t>女棉服</t>
  </si>
  <si>
    <t>LS</t>
  </si>
  <si>
    <t>1）60.5kg-35件 2）60kg-35件</t>
  </si>
  <si>
    <t>MS0467</t>
  </si>
  <si>
    <t>VERALBA</t>
  </si>
  <si>
    <t>1）80.5kg-32件 2）80.5kg-32件 3）81.5kg-32件 4）75kg-32件 5）63kg-31件</t>
  </si>
  <si>
    <t>MS12513</t>
  </si>
  <si>
    <t>男棉服</t>
  </si>
  <si>
    <t>ALONG AINER\</t>
  </si>
  <si>
    <t>MS12492</t>
  </si>
  <si>
    <t>女皮靴</t>
  </si>
  <si>
    <t>ANEMONE</t>
  </si>
  <si>
    <t>鞋</t>
  </si>
  <si>
    <t>MS12531</t>
  </si>
  <si>
    <t>皮鞋</t>
  </si>
  <si>
    <t>K  UGG</t>
  </si>
  <si>
    <t>1）50.5kg-54件 2）47kg-55件</t>
  </si>
  <si>
    <t>MS0670</t>
  </si>
  <si>
    <t>WAN MEI</t>
  </si>
  <si>
    <t>H8008</t>
  </si>
  <si>
    <t>STELLAROSSA</t>
  </si>
  <si>
    <t>女仿皮棉服</t>
  </si>
  <si>
    <t>MS12518</t>
  </si>
  <si>
    <t>DISENWOR</t>
  </si>
  <si>
    <t>E</t>
  </si>
  <si>
    <t>M</t>
  </si>
  <si>
    <t>女大衣27kg</t>
    <phoneticPr fontId="11" type="noConversion"/>
  </si>
  <si>
    <t>女仿皮棉服30.5kg</t>
    <phoneticPr fontId="11" type="noConversion"/>
  </si>
  <si>
    <t>男棉服10kg</t>
    <phoneticPr fontId="11" type="noConversion"/>
  </si>
  <si>
    <t>女大衣/女仿皮棉服/男棉服</t>
    <phoneticPr fontId="11" type="noConversion"/>
  </si>
  <si>
    <t>A-男运动裤</t>
    <phoneticPr fontId="11" type="noConversion"/>
  </si>
  <si>
    <t>A-成人服装</t>
    <phoneticPr fontId="11" type="noConversion"/>
  </si>
  <si>
    <t>A-棉服</t>
    <phoneticPr fontId="11" type="noConversion"/>
  </si>
  <si>
    <t>A-鞋</t>
    <phoneticPr fontId="11" type="noConversion"/>
  </si>
  <si>
    <t>A-皮鞋</t>
    <phoneticPr fontId="11" type="noConversion"/>
  </si>
  <si>
    <t>VERALBA</t>
    <phoneticPr fontId="11" type="noConversion"/>
  </si>
</sst>
</file>

<file path=xl/styles.xml><?xml version="1.0" encoding="utf-8"?>
<styleSheet xmlns="http://schemas.openxmlformats.org/spreadsheetml/2006/main">
  <numFmts count="2">
    <numFmt numFmtId="176" formatCode="&quot;￥&quot;#,##0;[Red]&quot;￥&quot;#,##0"/>
    <numFmt numFmtId="177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176" fontId="0" fillId="0" borderId="3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EY41"/>
  <sheetViews>
    <sheetView tabSelected="1" topLeftCell="E3" zoomScale="115" zoomScaleNormal="115" workbookViewId="0">
      <selection activeCell="P12" sqref="P12"/>
    </sheetView>
  </sheetViews>
  <sheetFormatPr defaultColWidth="9" defaultRowHeight="13.5"/>
  <cols>
    <col min="1" max="1" width="0.25" style="1" customWidth="1"/>
    <col min="2" max="2" width="10.25" style="1" customWidth="1"/>
    <col min="3" max="3" width="9.75" style="1" customWidth="1"/>
    <col min="4" max="4" width="11.125" style="1" customWidth="1"/>
    <col min="5" max="5" width="6.25" style="1" customWidth="1"/>
    <col min="6" max="6" width="11.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9.375" style="1" customWidth="1"/>
    <col min="14" max="14" width="27.625" style="1" hidden="1" customWidth="1"/>
    <col min="15" max="15" width="1.375" style="1" customWidth="1"/>
    <col min="16" max="16" width="12.625" style="1"/>
    <col min="17" max="16379" width="9" style="1"/>
  </cols>
  <sheetData>
    <row r="1" spans="1:22" ht="24.75">
      <c r="A1" s="3"/>
      <c r="B1" s="3"/>
      <c r="C1" s="4"/>
      <c r="D1" s="67" t="s">
        <v>0</v>
      </c>
      <c r="E1" s="68"/>
      <c r="F1" s="68"/>
      <c r="G1" s="68"/>
      <c r="H1" s="69"/>
      <c r="I1" s="69"/>
      <c r="J1" s="68"/>
      <c r="K1" s="68"/>
      <c r="L1" s="68"/>
      <c r="M1" s="68"/>
      <c r="N1" s="70"/>
      <c r="O1" s="4"/>
    </row>
    <row r="2" spans="1:22" ht="22.5">
      <c r="A2" s="5"/>
      <c r="B2" s="6" t="s">
        <v>1</v>
      </c>
      <c r="C2" s="71" t="s">
        <v>2</v>
      </c>
      <c r="D2" s="72"/>
      <c r="E2" s="73" t="s">
        <v>3</v>
      </c>
      <c r="F2" s="74"/>
      <c r="G2" s="73" t="s">
        <v>4</v>
      </c>
      <c r="H2" s="75"/>
      <c r="I2" s="76" t="s">
        <v>5</v>
      </c>
      <c r="J2" s="71"/>
      <c r="K2" s="73" t="s">
        <v>6</v>
      </c>
      <c r="L2" s="72"/>
      <c r="M2" s="9" t="s">
        <v>7</v>
      </c>
      <c r="N2" s="9" t="s">
        <v>8</v>
      </c>
      <c r="O2" s="4"/>
    </row>
    <row r="3" spans="1:22" ht="20.25">
      <c r="A3" s="10"/>
      <c r="B3" s="11"/>
      <c r="C3" s="7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12" t="s">
        <v>14</v>
      </c>
      <c r="I3" s="12" t="s">
        <v>15</v>
      </c>
      <c r="J3" s="3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39"/>
    </row>
    <row r="4" spans="1:22" ht="17.25">
      <c r="A4" s="13"/>
      <c r="B4" s="9" t="s">
        <v>21</v>
      </c>
      <c r="C4" s="53" t="s">
        <v>22</v>
      </c>
      <c r="D4" s="49" t="s">
        <v>23</v>
      </c>
      <c r="E4" s="57">
        <v>1</v>
      </c>
      <c r="F4" s="15" t="s">
        <v>24</v>
      </c>
      <c r="G4" s="17">
        <v>22</v>
      </c>
      <c r="H4" s="18">
        <v>740</v>
      </c>
      <c r="I4" s="40">
        <f>G:G*H:H</f>
        <v>16280</v>
      </c>
      <c r="J4" s="35">
        <v>2626</v>
      </c>
      <c r="K4" s="53">
        <v>82</v>
      </c>
      <c r="L4" s="49">
        <v>0.55600000000000005</v>
      </c>
      <c r="M4" s="15" t="s">
        <v>25</v>
      </c>
      <c r="N4" s="49"/>
      <c r="O4" s="41"/>
      <c r="P4" s="42" t="str">
        <f>C4&amp;"-1007-"&amp;E4</f>
        <v>E5428-1007-1</v>
      </c>
      <c r="Q4" s="48">
        <f>E4</f>
        <v>1</v>
      </c>
      <c r="R4" s="1">
        <f>K4</f>
        <v>82</v>
      </c>
      <c r="S4" s="1">
        <f>L4</f>
        <v>0.55600000000000005</v>
      </c>
      <c r="T4" s="15" t="s">
        <v>24</v>
      </c>
      <c r="U4" s="1">
        <v>44</v>
      </c>
      <c r="V4" s="1">
        <v>4578</v>
      </c>
    </row>
    <row r="5" spans="1:22" ht="17.25">
      <c r="A5" s="13"/>
      <c r="B5" s="9" t="s">
        <v>21</v>
      </c>
      <c r="C5" s="53"/>
      <c r="D5" s="49"/>
      <c r="E5" s="57"/>
      <c r="F5" s="15" t="s">
        <v>24</v>
      </c>
      <c r="G5" s="17">
        <v>22</v>
      </c>
      <c r="H5" s="18">
        <v>550</v>
      </c>
      <c r="I5" s="40">
        <f>G:G*H:H</f>
        <v>12100</v>
      </c>
      <c r="J5" s="35">
        <v>1952</v>
      </c>
      <c r="K5" s="53"/>
      <c r="L5" s="49"/>
      <c r="M5" s="15" t="s">
        <v>25</v>
      </c>
      <c r="N5" s="49"/>
      <c r="O5" s="41"/>
      <c r="P5" s="42"/>
    </row>
    <row r="6" spans="1:22" ht="17.25">
      <c r="A6" s="13"/>
      <c r="B6" s="9" t="s">
        <v>21</v>
      </c>
      <c r="C6" s="53" t="s">
        <v>26</v>
      </c>
      <c r="D6" s="49" t="s">
        <v>23</v>
      </c>
      <c r="E6" s="57">
        <v>3</v>
      </c>
      <c r="F6" s="15" t="s">
        <v>24</v>
      </c>
      <c r="G6" s="17">
        <v>18</v>
      </c>
      <c r="H6" s="18"/>
      <c r="I6" s="59">
        <v>99036</v>
      </c>
      <c r="J6" s="62">
        <v>15974</v>
      </c>
      <c r="K6" s="53">
        <v>201</v>
      </c>
      <c r="L6" s="49">
        <v>1.1379999999999999</v>
      </c>
      <c r="M6" s="15" t="s">
        <v>27</v>
      </c>
      <c r="N6" s="49" t="s">
        <v>28</v>
      </c>
      <c r="O6" s="41"/>
      <c r="P6" s="42" t="str">
        <f>C6&amp;"-1007-"&amp;E6</f>
        <v>E9222-1007-3</v>
      </c>
      <c r="Q6" s="48">
        <f>E6</f>
        <v>3</v>
      </c>
      <c r="R6" s="1">
        <f>K6</f>
        <v>201</v>
      </c>
      <c r="S6" s="1">
        <f>L6</f>
        <v>1.1379999999999999</v>
      </c>
      <c r="T6" s="15" t="s">
        <v>24</v>
      </c>
      <c r="U6" s="1">
        <v>118</v>
      </c>
      <c r="V6" s="1">
        <v>15974</v>
      </c>
    </row>
    <row r="7" spans="1:22" ht="17.25">
      <c r="A7" s="13"/>
      <c r="B7" s="9" t="s">
        <v>21</v>
      </c>
      <c r="C7" s="53"/>
      <c r="D7" s="49"/>
      <c r="E7" s="57"/>
      <c r="F7" s="15" t="s">
        <v>24</v>
      </c>
      <c r="G7" s="17">
        <v>20</v>
      </c>
      <c r="H7" s="18"/>
      <c r="I7" s="60"/>
      <c r="J7" s="63"/>
      <c r="K7" s="53"/>
      <c r="L7" s="49"/>
      <c r="M7" s="15" t="s">
        <v>27</v>
      </c>
      <c r="N7" s="49"/>
      <c r="O7" s="41"/>
      <c r="P7" s="42"/>
    </row>
    <row r="8" spans="1:22" ht="17.25">
      <c r="A8" s="13"/>
      <c r="B8" s="9" t="s">
        <v>21</v>
      </c>
      <c r="C8" s="53"/>
      <c r="D8" s="49"/>
      <c r="E8" s="57"/>
      <c r="F8" s="15" t="s">
        <v>24</v>
      </c>
      <c r="G8" s="17">
        <v>40</v>
      </c>
      <c r="H8" s="18"/>
      <c r="I8" s="60"/>
      <c r="J8" s="63"/>
      <c r="K8" s="53"/>
      <c r="L8" s="49"/>
      <c r="M8" s="15" t="s">
        <v>27</v>
      </c>
      <c r="N8" s="49"/>
      <c r="O8" s="41"/>
      <c r="P8" s="42"/>
    </row>
    <row r="9" spans="1:22" ht="17.25">
      <c r="A9" s="13"/>
      <c r="B9" s="9" t="s">
        <v>21</v>
      </c>
      <c r="C9" s="53"/>
      <c r="D9" s="49"/>
      <c r="E9" s="57"/>
      <c r="F9" s="15" t="s">
        <v>24</v>
      </c>
      <c r="G9" s="17">
        <v>40</v>
      </c>
      <c r="H9" s="18"/>
      <c r="I9" s="61"/>
      <c r="J9" s="64"/>
      <c r="K9" s="53"/>
      <c r="L9" s="49"/>
      <c r="M9" s="15" t="s">
        <v>27</v>
      </c>
      <c r="N9" s="49"/>
      <c r="O9" s="41"/>
      <c r="P9" s="42"/>
    </row>
    <row r="10" spans="1:22" ht="17.25">
      <c r="A10" s="19"/>
      <c r="B10" s="9" t="s">
        <v>21</v>
      </c>
      <c r="C10" s="20" t="s">
        <v>29</v>
      </c>
      <c r="D10" s="21" t="s">
        <v>30</v>
      </c>
      <c r="E10" s="22">
        <v>1</v>
      </c>
      <c r="F10" s="21" t="s">
        <v>31</v>
      </c>
      <c r="G10" s="23">
        <v>125</v>
      </c>
      <c r="H10" s="24"/>
      <c r="I10" s="43">
        <v>5520</v>
      </c>
      <c r="J10" s="35">
        <v>890</v>
      </c>
      <c r="K10" s="20">
        <v>69.8</v>
      </c>
      <c r="L10" s="21">
        <v>0.51600000000000001</v>
      </c>
      <c r="M10" s="21" t="s">
        <v>32</v>
      </c>
      <c r="N10" s="21"/>
      <c r="O10" s="41"/>
      <c r="P10" s="42" t="str">
        <f>C10&amp;"-1005-"&amp;E10</f>
        <v>GMS7035-1005-1</v>
      </c>
      <c r="Q10" s="48">
        <f t="shared" ref="Q10:Q15" si="0">E10</f>
        <v>1</v>
      </c>
      <c r="R10" s="1">
        <f t="shared" ref="R10:S15" si="1">K10</f>
        <v>69.8</v>
      </c>
      <c r="S10" s="1">
        <f t="shared" si="1"/>
        <v>0.51600000000000001</v>
      </c>
      <c r="T10" s="21" t="s">
        <v>73</v>
      </c>
      <c r="U10" s="23">
        <v>125</v>
      </c>
      <c r="V10" s="35">
        <v>890</v>
      </c>
    </row>
    <row r="11" spans="1:22" ht="33">
      <c r="A11" s="19"/>
      <c r="B11" s="9" t="s">
        <v>21</v>
      </c>
      <c r="C11" s="20" t="s">
        <v>29</v>
      </c>
      <c r="D11" s="21" t="s">
        <v>33</v>
      </c>
      <c r="E11" s="22">
        <v>5</v>
      </c>
      <c r="F11" s="21" t="s">
        <v>34</v>
      </c>
      <c r="G11" s="23">
        <v>499</v>
      </c>
      <c r="H11" s="24"/>
      <c r="I11" s="43">
        <v>22954</v>
      </c>
      <c r="J11" s="35">
        <v>3702</v>
      </c>
      <c r="K11" s="20">
        <v>278.8</v>
      </c>
      <c r="L11" s="21">
        <v>1.861</v>
      </c>
      <c r="M11" s="21" t="s">
        <v>32</v>
      </c>
      <c r="N11" s="21" t="s">
        <v>35</v>
      </c>
      <c r="O11" s="41"/>
      <c r="P11" s="42" t="str">
        <f>C11&amp;"-1004-"&amp;E11</f>
        <v>GMS7035-1004-5</v>
      </c>
      <c r="Q11" s="48">
        <f t="shared" si="0"/>
        <v>5</v>
      </c>
      <c r="R11" s="1">
        <f t="shared" si="1"/>
        <v>278.8</v>
      </c>
      <c r="S11" s="1">
        <f t="shared" si="1"/>
        <v>1.861</v>
      </c>
      <c r="T11" s="21" t="s">
        <v>74</v>
      </c>
      <c r="U11" s="23">
        <v>499</v>
      </c>
      <c r="V11" s="35">
        <v>3702</v>
      </c>
    </row>
    <row r="12" spans="1:22" ht="17.25">
      <c r="A12" s="19"/>
      <c r="B12" s="9" t="s">
        <v>21</v>
      </c>
      <c r="C12" s="20" t="s">
        <v>36</v>
      </c>
      <c r="D12" s="21" t="s">
        <v>30</v>
      </c>
      <c r="E12" s="22">
        <v>1</v>
      </c>
      <c r="F12" s="21" t="s">
        <v>34</v>
      </c>
      <c r="G12" s="23">
        <v>0</v>
      </c>
      <c r="H12" s="24"/>
      <c r="I12" s="43">
        <v>4340</v>
      </c>
      <c r="J12" s="35">
        <v>700</v>
      </c>
      <c r="K12" s="20">
        <v>97.8</v>
      </c>
      <c r="L12" s="21">
        <v>0.437</v>
      </c>
      <c r="M12" s="21" t="s">
        <v>32</v>
      </c>
      <c r="N12" s="21" t="s">
        <v>37</v>
      </c>
      <c r="O12" s="41"/>
      <c r="P12" s="42" t="str">
        <f>C12&amp;"-1005-"&amp;E12</f>
        <v>GMS0759-1005-1</v>
      </c>
      <c r="Q12" s="48">
        <f t="shared" si="0"/>
        <v>1</v>
      </c>
      <c r="R12" s="1">
        <f t="shared" si="1"/>
        <v>97.8</v>
      </c>
      <c r="S12" s="1">
        <f t="shared" si="1"/>
        <v>0.437</v>
      </c>
      <c r="T12" s="21" t="s">
        <v>74</v>
      </c>
      <c r="U12" s="23">
        <v>0</v>
      </c>
      <c r="V12" s="35">
        <v>700</v>
      </c>
    </row>
    <row r="13" spans="1:22" ht="17.25">
      <c r="A13" s="19"/>
      <c r="B13" s="9" t="s">
        <v>21</v>
      </c>
      <c r="C13" s="20" t="s">
        <v>38</v>
      </c>
      <c r="D13" s="21" t="s">
        <v>30</v>
      </c>
      <c r="E13" s="22">
        <v>1</v>
      </c>
      <c r="F13" s="21" t="s">
        <v>39</v>
      </c>
      <c r="G13" s="23">
        <v>40</v>
      </c>
      <c r="H13" s="24"/>
      <c r="I13" s="43">
        <v>1240</v>
      </c>
      <c r="J13" s="35">
        <v>200</v>
      </c>
      <c r="K13" s="20">
        <v>56.4</v>
      </c>
      <c r="L13" s="21">
        <v>0.36</v>
      </c>
      <c r="M13" s="21" t="s">
        <v>32</v>
      </c>
      <c r="N13" s="21"/>
      <c r="O13" s="41"/>
      <c r="P13" s="42" t="str">
        <f>C13&amp;"-1005-"&amp;E13</f>
        <v>GMS12310-1005-1</v>
      </c>
      <c r="Q13" s="48">
        <f t="shared" si="0"/>
        <v>1</v>
      </c>
      <c r="R13" s="1">
        <f t="shared" si="1"/>
        <v>56.4</v>
      </c>
      <c r="S13" s="1">
        <f t="shared" si="1"/>
        <v>0.36</v>
      </c>
      <c r="T13" s="21" t="s">
        <v>75</v>
      </c>
      <c r="U13" s="23">
        <v>40</v>
      </c>
      <c r="V13" s="35">
        <v>200</v>
      </c>
    </row>
    <row r="14" spans="1:22" ht="17.25">
      <c r="A14" s="19"/>
      <c r="B14" s="9" t="s">
        <v>21</v>
      </c>
      <c r="C14" s="20" t="s">
        <v>40</v>
      </c>
      <c r="D14" s="21" t="s">
        <v>30</v>
      </c>
      <c r="E14" s="22">
        <v>1</v>
      </c>
      <c r="F14" s="21" t="s">
        <v>34</v>
      </c>
      <c r="G14" s="23" t="s">
        <v>41</v>
      </c>
      <c r="H14" s="24"/>
      <c r="I14" s="43">
        <v>9300</v>
      </c>
      <c r="J14" s="35">
        <v>1500</v>
      </c>
      <c r="K14" s="20">
        <v>57.8</v>
      </c>
      <c r="L14" s="21">
        <v>0.30599999999999999</v>
      </c>
      <c r="M14" s="21" t="s">
        <v>32</v>
      </c>
      <c r="N14" s="21"/>
      <c r="O14" s="41"/>
      <c r="P14" s="42" t="str">
        <f>C14&amp;"-1005-"&amp;E14</f>
        <v>GMT0369-1005-1</v>
      </c>
      <c r="Q14" s="48">
        <f t="shared" si="0"/>
        <v>1</v>
      </c>
      <c r="R14" s="1">
        <f t="shared" si="1"/>
        <v>57.8</v>
      </c>
      <c r="S14" s="1">
        <f t="shared" si="1"/>
        <v>0.30599999999999999</v>
      </c>
      <c r="T14" s="21" t="s">
        <v>74</v>
      </c>
      <c r="U14" s="23" t="s">
        <v>41</v>
      </c>
      <c r="V14" s="35">
        <v>1500</v>
      </c>
    </row>
    <row r="15" spans="1:22" ht="17.25">
      <c r="A15" s="19"/>
      <c r="B15" s="9" t="s">
        <v>21</v>
      </c>
      <c r="C15" s="55" t="s">
        <v>42</v>
      </c>
      <c r="D15" s="51" t="s">
        <v>23</v>
      </c>
      <c r="E15" s="65">
        <v>2</v>
      </c>
      <c r="F15" s="21" t="s">
        <v>43</v>
      </c>
      <c r="G15" s="23">
        <v>20</v>
      </c>
      <c r="H15" s="24">
        <v>600</v>
      </c>
      <c r="I15" s="40">
        <f t="shared" ref="I15:I23" si="2">G:G*H:H</f>
        <v>12000</v>
      </c>
      <c r="J15" s="35">
        <v>1935</v>
      </c>
      <c r="K15" s="55">
        <v>120.5</v>
      </c>
      <c r="L15" s="51">
        <v>0.74399999999999999</v>
      </c>
      <c r="M15" s="21" t="s">
        <v>44</v>
      </c>
      <c r="N15" s="51" t="s">
        <v>45</v>
      </c>
      <c r="O15" s="41"/>
      <c r="P15" s="42" t="str">
        <f>C15&amp;"-1007-"&amp;E15</f>
        <v>MS0152-1007-2</v>
      </c>
      <c r="Q15" s="48">
        <f t="shared" si="0"/>
        <v>2</v>
      </c>
      <c r="R15" s="1">
        <f t="shared" si="1"/>
        <v>120.5</v>
      </c>
      <c r="S15" s="1">
        <f t="shared" si="1"/>
        <v>0.74399999999999999</v>
      </c>
      <c r="T15" s="21" t="s">
        <v>43</v>
      </c>
      <c r="U15" s="1">
        <v>70</v>
      </c>
      <c r="V15" s="1">
        <v>5967</v>
      </c>
    </row>
    <row r="16" spans="1:22" ht="17.25">
      <c r="A16" s="19"/>
      <c r="B16" s="9" t="s">
        <v>21</v>
      </c>
      <c r="C16" s="55"/>
      <c r="D16" s="51"/>
      <c r="E16" s="65"/>
      <c r="F16" s="21" t="s">
        <v>43</v>
      </c>
      <c r="G16" s="23">
        <v>20</v>
      </c>
      <c r="H16" s="24">
        <v>500</v>
      </c>
      <c r="I16" s="40">
        <f t="shared" si="2"/>
        <v>10000</v>
      </c>
      <c r="J16" s="35">
        <v>1613</v>
      </c>
      <c r="K16" s="55"/>
      <c r="L16" s="51"/>
      <c r="M16" s="21" t="s">
        <v>44</v>
      </c>
      <c r="N16" s="51"/>
      <c r="O16" s="41"/>
      <c r="P16" s="42"/>
    </row>
    <row r="17" spans="1:22" ht="17.25">
      <c r="A17" s="19"/>
      <c r="B17" s="9" t="s">
        <v>21</v>
      </c>
      <c r="C17" s="55"/>
      <c r="D17" s="51"/>
      <c r="E17" s="65"/>
      <c r="F17" s="21" t="s">
        <v>43</v>
      </c>
      <c r="G17" s="23">
        <v>10</v>
      </c>
      <c r="H17" s="24">
        <v>500</v>
      </c>
      <c r="I17" s="40">
        <f t="shared" si="2"/>
        <v>5000</v>
      </c>
      <c r="J17" s="35">
        <v>806</v>
      </c>
      <c r="K17" s="55"/>
      <c r="L17" s="51"/>
      <c r="M17" s="21" t="s">
        <v>44</v>
      </c>
      <c r="N17" s="51"/>
      <c r="O17" s="41"/>
      <c r="P17" s="42"/>
    </row>
    <row r="18" spans="1:22" ht="17.25">
      <c r="A18" s="19"/>
      <c r="B18" s="9" t="s">
        <v>21</v>
      </c>
      <c r="C18" s="55"/>
      <c r="D18" s="51"/>
      <c r="E18" s="65"/>
      <c r="F18" s="21" t="s">
        <v>43</v>
      </c>
      <c r="G18" s="23">
        <v>20</v>
      </c>
      <c r="H18" s="24">
        <v>500</v>
      </c>
      <c r="I18" s="40">
        <f t="shared" si="2"/>
        <v>10000</v>
      </c>
      <c r="J18" s="35">
        <v>1613</v>
      </c>
      <c r="K18" s="55"/>
      <c r="L18" s="51"/>
      <c r="M18" s="21" t="s">
        <v>44</v>
      </c>
      <c r="N18" s="51"/>
      <c r="O18" s="41"/>
      <c r="P18" s="42"/>
    </row>
    <row r="19" spans="1:22" ht="36" customHeight="1">
      <c r="A19" s="13"/>
      <c r="B19" s="9" t="s">
        <v>21</v>
      </c>
      <c r="C19" s="56" t="s">
        <v>46</v>
      </c>
      <c r="D19" s="52" t="s">
        <v>23</v>
      </c>
      <c r="E19" s="66">
        <v>5</v>
      </c>
      <c r="F19" s="25" t="s">
        <v>43</v>
      </c>
      <c r="G19" s="26">
        <v>20</v>
      </c>
      <c r="H19" s="27">
        <v>300</v>
      </c>
      <c r="I19" s="40">
        <f t="shared" si="2"/>
        <v>6000</v>
      </c>
      <c r="J19" s="35">
        <v>968</v>
      </c>
      <c r="K19" s="56">
        <v>380.5</v>
      </c>
      <c r="L19" s="52">
        <v>1.8580000000000001</v>
      </c>
      <c r="M19" s="47" t="s">
        <v>78</v>
      </c>
      <c r="N19" s="52" t="s">
        <v>48</v>
      </c>
      <c r="O19" s="41"/>
      <c r="P19" s="42" t="str">
        <f>C19&amp;"-1007-"&amp;E19</f>
        <v>MS0467-1007-5</v>
      </c>
      <c r="Q19" s="48">
        <f>E19</f>
        <v>5</v>
      </c>
      <c r="R19" s="1">
        <f>K19</f>
        <v>380.5</v>
      </c>
      <c r="S19" s="1">
        <f>L19</f>
        <v>1.8580000000000001</v>
      </c>
      <c r="T19" s="25" t="s">
        <v>43</v>
      </c>
      <c r="U19" s="1">
        <v>159</v>
      </c>
      <c r="V19" s="1">
        <v>9936</v>
      </c>
    </row>
    <row r="20" spans="1:22" ht="36" customHeight="1">
      <c r="A20" s="13"/>
      <c r="B20" s="9" t="s">
        <v>21</v>
      </c>
      <c r="C20" s="53"/>
      <c r="D20" s="49"/>
      <c r="E20" s="57"/>
      <c r="F20" s="15" t="s">
        <v>43</v>
      </c>
      <c r="G20" s="17">
        <v>139</v>
      </c>
      <c r="H20" s="18">
        <v>400</v>
      </c>
      <c r="I20" s="40">
        <f t="shared" si="2"/>
        <v>55600</v>
      </c>
      <c r="J20" s="35">
        <v>8968</v>
      </c>
      <c r="K20" s="53"/>
      <c r="L20" s="49"/>
      <c r="M20" s="15" t="s">
        <v>47</v>
      </c>
      <c r="N20" s="49"/>
      <c r="O20" s="41"/>
      <c r="P20" s="42"/>
    </row>
    <row r="21" spans="1:22" ht="17.25">
      <c r="A21" s="13"/>
      <c r="B21" s="9" t="s">
        <v>21</v>
      </c>
      <c r="C21" s="53" t="s">
        <v>49</v>
      </c>
      <c r="D21" s="49" t="s">
        <v>23</v>
      </c>
      <c r="E21" s="57">
        <v>1</v>
      </c>
      <c r="F21" s="15" t="s">
        <v>50</v>
      </c>
      <c r="G21" s="17">
        <v>28</v>
      </c>
      <c r="H21" s="18">
        <v>300</v>
      </c>
      <c r="I21" s="40">
        <f t="shared" si="2"/>
        <v>8400</v>
      </c>
      <c r="J21" s="35">
        <v>1355</v>
      </c>
      <c r="K21" s="53">
        <v>75.5</v>
      </c>
      <c r="L21" s="49">
        <v>0.43</v>
      </c>
      <c r="M21" s="15" t="s">
        <v>51</v>
      </c>
      <c r="N21" s="49"/>
      <c r="O21" s="41"/>
      <c r="P21" s="42" t="str">
        <f>C21&amp;"-1007-"&amp;E21</f>
        <v>MS12513-1007-1</v>
      </c>
      <c r="Q21" s="48">
        <f>E21</f>
        <v>1</v>
      </c>
      <c r="R21" s="1">
        <f>K21</f>
        <v>75.5</v>
      </c>
      <c r="S21" s="1">
        <f>L21</f>
        <v>0.43</v>
      </c>
      <c r="T21" s="15" t="s">
        <v>50</v>
      </c>
      <c r="U21" s="1">
        <v>48</v>
      </c>
      <c r="V21" s="1">
        <v>2323</v>
      </c>
    </row>
    <row r="22" spans="1:22" ht="17.25">
      <c r="A22" s="13"/>
      <c r="B22" s="9" t="s">
        <v>21</v>
      </c>
      <c r="C22" s="53"/>
      <c r="D22" s="49"/>
      <c r="E22" s="57"/>
      <c r="F22" s="15" t="s">
        <v>50</v>
      </c>
      <c r="G22" s="17">
        <v>20</v>
      </c>
      <c r="H22" s="18">
        <v>300</v>
      </c>
      <c r="I22" s="40">
        <f t="shared" si="2"/>
        <v>6000</v>
      </c>
      <c r="J22" s="35">
        <v>968</v>
      </c>
      <c r="K22" s="53"/>
      <c r="L22" s="49"/>
      <c r="M22" s="15" t="s">
        <v>51</v>
      </c>
      <c r="N22" s="49"/>
      <c r="O22" s="41"/>
      <c r="P22" s="42"/>
    </row>
    <row r="23" spans="1:22" ht="17.25">
      <c r="A23" s="13"/>
      <c r="B23" s="9" t="s">
        <v>21</v>
      </c>
      <c r="C23" s="14" t="s">
        <v>52</v>
      </c>
      <c r="D23" s="15" t="s">
        <v>30</v>
      </c>
      <c r="E23" s="16">
        <v>1</v>
      </c>
      <c r="F23" s="15" t="s">
        <v>53</v>
      </c>
      <c r="G23" s="17">
        <v>8</v>
      </c>
      <c r="H23" s="18">
        <v>260</v>
      </c>
      <c r="I23" s="40">
        <f t="shared" si="2"/>
        <v>2080</v>
      </c>
      <c r="J23" s="35">
        <v>335</v>
      </c>
      <c r="K23" s="14">
        <v>13.5</v>
      </c>
      <c r="L23" s="15">
        <v>8.1000000000000003E-2</v>
      </c>
      <c r="M23" s="15" t="s">
        <v>54</v>
      </c>
      <c r="N23" s="15"/>
      <c r="O23" s="41"/>
      <c r="P23" s="42" t="str">
        <f>C23&amp;"-1005-"&amp;E23</f>
        <v>MS12492-1005-1</v>
      </c>
      <c r="Q23" s="48">
        <f>E23</f>
        <v>1</v>
      </c>
      <c r="R23" s="1">
        <f t="shared" ref="R23:S25" si="3">K23</f>
        <v>13.5</v>
      </c>
      <c r="S23" s="1">
        <f t="shared" si="3"/>
        <v>8.1000000000000003E-2</v>
      </c>
      <c r="T23" s="15" t="s">
        <v>53</v>
      </c>
      <c r="U23" s="17">
        <v>8</v>
      </c>
      <c r="V23" s="35">
        <v>335</v>
      </c>
    </row>
    <row r="24" spans="1:22" ht="17.25">
      <c r="A24" s="19"/>
      <c r="B24" s="9" t="s">
        <v>21</v>
      </c>
      <c r="C24" s="20" t="s">
        <v>36</v>
      </c>
      <c r="D24" s="21" t="s">
        <v>30</v>
      </c>
      <c r="E24" s="22">
        <v>1</v>
      </c>
      <c r="F24" s="21" t="s">
        <v>55</v>
      </c>
      <c r="G24" s="23">
        <v>12</v>
      </c>
      <c r="H24" s="24"/>
      <c r="I24" s="43">
        <v>1550</v>
      </c>
      <c r="J24" s="35">
        <v>250</v>
      </c>
      <c r="K24" s="20">
        <v>17.600000000000001</v>
      </c>
      <c r="L24" s="21">
        <v>0.112</v>
      </c>
      <c r="M24" s="21" t="s">
        <v>32</v>
      </c>
      <c r="N24" s="21"/>
      <c r="O24" s="41"/>
      <c r="P24" s="42" t="str">
        <f>C24&amp;"-1005-"&amp;E24</f>
        <v>GMS0759-1005-1</v>
      </c>
      <c r="Q24" s="48">
        <f>E24</f>
        <v>1</v>
      </c>
      <c r="R24" s="1">
        <f t="shared" si="3"/>
        <v>17.600000000000001</v>
      </c>
      <c r="S24" s="1">
        <f t="shared" si="3"/>
        <v>0.112</v>
      </c>
      <c r="T24" s="21" t="s">
        <v>76</v>
      </c>
      <c r="U24" s="23">
        <v>12</v>
      </c>
      <c r="V24" s="35">
        <v>250</v>
      </c>
    </row>
    <row r="25" spans="1:22" ht="17.25">
      <c r="A25" s="13"/>
      <c r="B25" s="9" t="s">
        <v>21</v>
      </c>
      <c r="C25" s="53" t="s">
        <v>56</v>
      </c>
      <c r="D25" s="49" t="s">
        <v>23</v>
      </c>
      <c r="E25" s="57">
        <v>2</v>
      </c>
      <c r="F25" s="15" t="s">
        <v>57</v>
      </c>
      <c r="G25" s="17">
        <v>14</v>
      </c>
      <c r="H25" s="18"/>
      <c r="I25" s="59">
        <v>12810</v>
      </c>
      <c r="J25" s="62">
        <v>2066</v>
      </c>
      <c r="K25" s="53">
        <v>97.5</v>
      </c>
      <c r="L25" s="49">
        <v>0.93</v>
      </c>
      <c r="M25" s="15" t="s">
        <v>58</v>
      </c>
      <c r="N25" s="49" t="s">
        <v>59</v>
      </c>
      <c r="O25" s="41"/>
      <c r="P25" s="42" t="str">
        <f>C25&amp;"-1007-"&amp;E25</f>
        <v>MS12531-1007-2</v>
      </c>
      <c r="Q25" s="48">
        <f>E25</f>
        <v>2</v>
      </c>
      <c r="R25" s="1">
        <f t="shared" si="3"/>
        <v>97.5</v>
      </c>
      <c r="S25" s="1">
        <f t="shared" si="3"/>
        <v>0.93</v>
      </c>
      <c r="T25" s="15" t="s">
        <v>77</v>
      </c>
      <c r="U25" s="1">
        <v>109</v>
      </c>
      <c r="V25" s="1">
        <v>2066</v>
      </c>
    </row>
    <row r="26" spans="1:22" ht="17.25">
      <c r="A26" s="13"/>
      <c r="B26" s="9" t="s">
        <v>21</v>
      </c>
      <c r="C26" s="53"/>
      <c r="D26" s="49"/>
      <c r="E26" s="57"/>
      <c r="F26" s="15" t="s">
        <v>57</v>
      </c>
      <c r="G26" s="17">
        <v>14</v>
      </c>
      <c r="H26" s="18"/>
      <c r="I26" s="60"/>
      <c r="J26" s="63"/>
      <c r="K26" s="53"/>
      <c r="L26" s="49"/>
      <c r="M26" s="15" t="s">
        <v>58</v>
      </c>
      <c r="N26" s="49"/>
      <c r="O26" s="41"/>
      <c r="P26" s="42"/>
    </row>
    <row r="27" spans="1:22" ht="17.25">
      <c r="A27" s="13"/>
      <c r="B27" s="9" t="s">
        <v>21</v>
      </c>
      <c r="C27" s="53"/>
      <c r="D27" s="49"/>
      <c r="E27" s="57"/>
      <c r="F27" s="15" t="s">
        <v>57</v>
      </c>
      <c r="G27" s="17">
        <v>14</v>
      </c>
      <c r="H27" s="18"/>
      <c r="I27" s="60"/>
      <c r="J27" s="63"/>
      <c r="K27" s="53"/>
      <c r="L27" s="49"/>
      <c r="M27" s="15" t="s">
        <v>58</v>
      </c>
      <c r="N27" s="49"/>
      <c r="O27" s="41"/>
      <c r="P27" s="42"/>
    </row>
    <row r="28" spans="1:22" ht="17.25">
      <c r="A28" s="13"/>
      <c r="B28" s="9" t="s">
        <v>21</v>
      </c>
      <c r="C28" s="53"/>
      <c r="D28" s="49"/>
      <c r="E28" s="57"/>
      <c r="F28" s="15" t="s">
        <v>57</v>
      </c>
      <c r="G28" s="17">
        <v>12</v>
      </c>
      <c r="H28" s="18"/>
      <c r="I28" s="60"/>
      <c r="J28" s="63"/>
      <c r="K28" s="53"/>
      <c r="L28" s="49"/>
      <c r="M28" s="15" t="s">
        <v>58</v>
      </c>
      <c r="N28" s="49"/>
      <c r="O28" s="41"/>
      <c r="P28" s="42"/>
    </row>
    <row r="29" spans="1:22" ht="17.25">
      <c r="A29" s="13"/>
      <c r="B29" s="9" t="s">
        <v>21</v>
      </c>
      <c r="C29" s="53"/>
      <c r="D29" s="49"/>
      <c r="E29" s="57"/>
      <c r="F29" s="15" t="s">
        <v>57</v>
      </c>
      <c r="G29" s="17">
        <v>20</v>
      </c>
      <c r="H29" s="18"/>
      <c r="I29" s="60"/>
      <c r="J29" s="63"/>
      <c r="K29" s="53"/>
      <c r="L29" s="49"/>
      <c r="M29" s="15" t="s">
        <v>58</v>
      </c>
      <c r="N29" s="49"/>
      <c r="O29" s="41"/>
      <c r="P29" s="42"/>
    </row>
    <row r="30" spans="1:22" ht="17.25">
      <c r="A30" s="13"/>
      <c r="B30" s="9" t="s">
        <v>21</v>
      </c>
      <c r="C30" s="53"/>
      <c r="D30" s="49"/>
      <c r="E30" s="57"/>
      <c r="F30" s="15" t="s">
        <v>57</v>
      </c>
      <c r="G30" s="17">
        <v>13</v>
      </c>
      <c r="H30" s="18"/>
      <c r="I30" s="60"/>
      <c r="J30" s="63"/>
      <c r="K30" s="53"/>
      <c r="L30" s="49"/>
      <c r="M30" s="15" t="s">
        <v>58</v>
      </c>
      <c r="N30" s="49"/>
      <c r="O30" s="41"/>
      <c r="P30" s="42"/>
    </row>
    <row r="31" spans="1:22" ht="17.25">
      <c r="A31" s="13"/>
      <c r="B31" s="9" t="s">
        <v>21</v>
      </c>
      <c r="C31" s="54"/>
      <c r="D31" s="50"/>
      <c r="E31" s="58"/>
      <c r="F31" s="28" t="s">
        <v>57</v>
      </c>
      <c r="G31" s="29">
        <v>22</v>
      </c>
      <c r="H31" s="30"/>
      <c r="I31" s="60"/>
      <c r="J31" s="64"/>
      <c r="K31" s="54"/>
      <c r="L31" s="50"/>
      <c r="M31" s="28" t="s">
        <v>58</v>
      </c>
      <c r="N31" s="50"/>
      <c r="O31" s="41"/>
      <c r="P31" s="42"/>
    </row>
    <row r="32" spans="1:22" ht="17.25">
      <c r="A32" s="13"/>
      <c r="B32" s="9" t="s">
        <v>21</v>
      </c>
      <c r="C32" s="14" t="s">
        <v>60</v>
      </c>
      <c r="D32" s="15" t="s">
        <v>23</v>
      </c>
      <c r="E32" s="57">
        <v>1</v>
      </c>
      <c r="F32" s="15" t="s">
        <v>69</v>
      </c>
      <c r="G32" s="17">
        <v>29</v>
      </c>
      <c r="H32" s="18">
        <v>145</v>
      </c>
      <c r="I32" s="40">
        <f>G:G*H:H</f>
        <v>4205</v>
      </c>
      <c r="J32" s="35">
        <v>678</v>
      </c>
      <c r="K32" s="53">
        <v>68.5</v>
      </c>
      <c r="L32" s="49">
        <v>0.46600000000000003</v>
      </c>
      <c r="M32" s="15" t="s">
        <v>61</v>
      </c>
      <c r="N32" s="44"/>
      <c r="O32" s="41"/>
      <c r="P32" s="42" t="str">
        <f>C32&amp;"/"&amp;C33&amp;"/"&amp;C36&amp;"-1007-"&amp;E32</f>
        <v>MS0670/H8008/MS12518-1007-1</v>
      </c>
      <c r="Q32" s="48">
        <f>E32</f>
        <v>1</v>
      </c>
      <c r="R32" s="1">
        <f>K32</f>
        <v>68.5</v>
      </c>
      <c r="S32" s="1">
        <f>L32</f>
        <v>0.46600000000000003</v>
      </c>
      <c r="T32" s="1" t="s">
        <v>72</v>
      </c>
      <c r="U32" s="1">
        <v>50</v>
      </c>
      <c r="V32" s="1">
        <v>3856</v>
      </c>
    </row>
    <row r="33" spans="1:17" ht="33">
      <c r="A33" s="13"/>
      <c r="B33" s="9" t="s">
        <v>21</v>
      </c>
      <c r="C33" s="53" t="s">
        <v>62</v>
      </c>
      <c r="D33" s="49" t="s">
        <v>23</v>
      </c>
      <c r="E33" s="57"/>
      <c r="F33" s="15" t="s">
        <v>70</v>
      </c>
      <c r="G33" s="17">
        <v>5</v>
      </c>
      <c r="H33" s="18">
        <v>1247</v>
      </c>
      <c r="I33" s="40">
        <f>G:G*H:H</f>
        <v>6235</v>
      </c>
      <c r="J33" s="35">
        <v>1006</v>
      </c>
      <c r="K33" s="53"/>
      <c r="L33" s="49"/>
      <c r="M33" s="15" t="s">
        <v>63</v>
      </c>
      <c r="N33" s="15"/>
      <c r="O33" s="41"/>
      <c r="P33" s="42"/>
      <c r="Q33" s="48"/>
    </row>
    <row r="34" spans="1:17" ht="17.25">
      <c r="A34" s="13"/>
      <c r="B34" s="9" t="s">
        <v>21</v>
      </c>
      <c r="C34" s="53"/>
      <c r="D34" s="49"/>
      <c r="E34" s="57"/>
      <c r="F34" s="15" t="s">
        <v>64</v>
      </c>
      <c r="G34" s="17">
        <v>4</v>
      </c>
      <c r="H34" s="18">
        <v>1247</v>
      </c>
      <c r="I34" s="40">
        <f>G:G*H:H</f>
        <v>4988</v>
      </c>
      <c r="J34" s="35">
        <v>805</v>
      </c>
      <c r="K34" s="53"/>
      <c r="L34" s="49"/>
      <c r="M34" s="15" t="s">
        <v>63</v>
      </c>
      <c r="N34" s="15"/>
      <c r="O34" s="41"/>
      <c r="P34" s="42"/>
      <c r="Q34" s="48"/>
    </row>
    <row r="35" spans="1:17" ht="17.25">
      <c r="A35" s="13"/>
      <c r="B35" s="9" t="s">
        <v>21</v>
      </c>
      <c r="C35" s="53"/>
      <c r="D35" s="49"/>
      <c r="E35" s="57"/>
      <c r="F35" s="15" t="s">
        <v>64</v>
      </c>
      <c r="G35" s="17">
        <v>5</v>
      </c>
      <c r="H35" s="18">
        <v>1247</v>
      </c>
      <c r="I35" s="40">
        <f>G:G*H:H</f>
        <v>6235</v>
      </c>
      <c r="J35" s="35">
        <v>1006</v>
      </c>
      <c r="K35" s="53"/>
      <c r="L35" s="49"/>
      <c r="M35" s="15" t="s">
        <v>63</v>
      </c>
      <c r="N35" s="15"/>
      <c r="O35" s="41"/>
      <c r="P35" s="42"/>
    </row>
    <row r="36" spans="1:17" ht="17.25">
      <c r="A36" s="13"/>
      <c r="B36" s="9" t="s">
        <v>21</v>
      </c>
      <c r="C36" s="14" t="s">
        <v>65</v>
      </c>
      <c r="D36" s="15" t="s">
        <v>30</v>
      </c>
      <c r="E36" s="57"/>
      <c r="F36" s="15" t="s">
        <v>71</v>
      </c>
      <c r="G36" s="17">
        <v>7</v>
      </c>
      <c r="H36" s="18">
        <v>320</v>
      </c>
      <c r="I36" s="40">
        <f>G:G*H:H</f>
        <v>2240</v>
      </c>
      <c r="J36" s="35">
        <v>361</v>
      </c>
      <c r="K36" s="53"/>
      <c r="L36" s="49"/>
      <c r="M36" s="15" t="s">
        <v>66</v>
      </c>
      <c r="N36" s="15"/>
      <c r="O36" s="41"/>
      <c r="P36" s="42"/>
    </row>
    <row r="37" spans="1:17" ht="21.95" customHeight="1">
      <c r="B37" s="31"/>
      <c r="C37" s="32"/>
      <c r="D37" s="33"/>
      <c r="E37" s="33"/>
      <c r="F37" s="33"/>
      <c r="G37" s="33"/>
      <c r="H37" s="34"/>
      <c r="I37" s="45"/>
      <c r="J37" s="35"/>
      <c r="K37" s="32"/>
      <c r="L37" s="33"/>
      <c r="M37" s="33"/>
      <c r="N37" s="33"/>
      <c r="P37" s="42"/>
    </row>
    <row r="38" spans="1:17" ht="21.95" customHeight="1">
      <c r="B38" s="31"/>
      <c r="C38" s="32"/>
      <c r="D38" s="33"/>
      <c r="E38" s="35" t="s">
        <v>67</v>
      </c>
      <c r="F38" s="36">
        <v>4</v>
      </c>
      <c r="G38" s="36">
        <v>283</v>
      </c>
      <c r="H38" s="36">
        <v>1.694</v>
      </c>
      <c r="I38" s="45"/>
      <c r="J38" s="35"/>
      <c r="K38" s="32"/>
      <c r="L38" s="33"/>
      <c r="M38" s="33"/>
      <c r="N38" s="33"/>
      <c r="P38" s="42"/>
    </row>
    <row r="39" spans="1:17" ht="21.95" customHeight="1">
      <c r="B39" s="31"/>
      <c r="C39" s="32"/>
      <c r="D39" s="33"/>
      <c r="E39" s="35" t="s">
        <v>68</v>
      </c>
      <c r="F39" s="36">
        <v>22</v>
      </c>
      <c r="G39" s="36">
        <v>1334.2</v>
      </c>
      <c r="H39" s="36">
        <v>8.1010000000000009</v>
      </c>
      <c r="I39" s="34"/>
      <c r="J39" s="46"/>
      <c r="K39" s="33"/>
      <c r="L39" s="33"/>
      <c r="M39" s="33"/>
      <c r="N39" s="33"/>
      <c r="P39" s="42"/>
    </row>
    <row r="40" spans="1:17" ht="21.95" customHeight="1">
      <c r="B40" s="31"/>
      <c r="C40" s="32"/>
      <c r="D40" s="33"/>
      <c r="E40" s="35"/>
      <c r="F40" s="36">
        <f t="shared" ref="F40" si="4">SUM(F38:F39)</f>
        <v>26</v>
      </c>
      <c r="G40" s="36">
        <f>SUM(G38:G39)</f>
        <v>1617.2</v>
      </c>
      <c r="H40" s="36">
        <f>SUM(H38:H39)</f>
        <v>9.7949999999999999</v>
      </c>
      <c r="I40" s="34"/>
      <c r="J40" s="33"/>
      <c r="K40" s="33"/>
      <c r="L40" s="33"/>
      <c r="M40" s="33"/>
      <c r="N40" s="33"/>
      <c r="P40" s="42"/>
    </row>
    <row r="41" spans="1:17" ht="21.95" customHeight="1">
      <c r="F41" s="37"/>
      <c r="G41" s="37"/>
      <c r="H41" s="37"/>
    </row>
  </sheetData>
  <mergeCells count="51">
    <mergeCell ref="D1:N1"/>
    <mergeCell ref="C2:D2"/>
    <mergeCell ref="E2:F2"/>
    <mergeCell ref="G2:H2"/>
    <mergeCell ref="I2:J2"/>
    <mergeCell ref="K2:L2"/>
    <mergeCell ref="C25:C31"/>
    <mergeCell ref="C33:C35"/>
    <mergeCell ref="D4:D5"/>
    <mergeCell ref="D6:D9"/>
    <mergeCell ref="D15:D18"/>
    <mergeCell ref="D19:D20"/>
    <mergeCell ref="D21:D22"/>
    <mergeCell ref="D25:D31"/>
    <mergeCell ref="D33:D35"/>
    <mergeCell ref="C4:C5"/>
    <mergeCell ref="C6:C9"/>
    <mergeCell ref="C15:C18"/>
    <mergeCell ref="C19:C20"/>
    <mergeCell ref="C21:C22"/>
    <mergeCell ref="E4:E5"/>
    <mergeCell ref="E6:E9"/>
    <mergeCell ref="E15:E18"/>
    <mergeCell ref="E19:E20"/>
    <mergeCell ref="E21:E22"/>
    <mergeCell ref="E25:E31"/>
    <mergeCell ref="E32:E36"/>
    <mergeCell ref="I6:I9"/>
    <mergeCell ref="I25:I31"/>
    <mergeCell ref="J6:J9"/>
    <mergeCell ref="J25:J31"/>
    <mergeCell ref="K25:K31"/>
    <mergeCell ref="K32:K36"/>
    <mergeCell ref="L4:L5"/>
    <mergeCell ref="L6:L9"/>
    <mergeCell ref="L15:L18"/>
    <mergeCell ref="L19:L20"/>
    <mergeCell ref="L21:L22"/>
    <mergeCell ref="L25:L31"/>
    <mergeCell ref="L32:L36"/>
    <mergeCell ref="K4:K5"/>
    <mergeCell ref="K6:K9"/>
    <mergeCell ref="K15:K18"/>
    <mergeCell ref="K19:K20"/>
    <mergeCell ref="K21:K22"/>
    <mergeCell ref="N25:N31"/>
    <mergeCell ref="N4:N5"/>
    <mergeCell ref="N6:N9"/>
    <mergeCell ref="N15:N18"/>
    <mergeCell ref="N19:N20"/>
    <mergeCell ref="N21:N22"/>
  </mergeCells>
  <phoneticPr fontId="11" type="noConversion"/>
  <printOptions verticalCentered="1"/>
  <pageMargins left="0.118055555555556" right="0.118055555555556" top="0.118055555555556" bottom="0.118055555555556" header="0.3" footer="0.3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京258库飞机-第147单-2015-10-07-26包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Administrator</cp:lastModifiedBy>
  <dcterms:created xsi:type="dcterms:W3CDTF">2011-12-31T06:39:00Z</dcterms:created>
  <dcterms:modified xsi:type="dcterms:W3CDTF">2015-10-08T21:14:22Z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