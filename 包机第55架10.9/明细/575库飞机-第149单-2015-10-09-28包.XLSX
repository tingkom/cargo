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500"/>
  </bookViews>
  <sheets>
    <sheet name="京258库飞机-第149单-2015-10-09-28包" sheetId="1" r:id="rId1"/>
  </sheets>
  <calcPr calcId="144525"/>
</workbook>
</file>

<file path=xl/sharedStrings.xml><?xml version="1.0" encoding="utf-8"?>
<sst xmlns="http://schemas.openxmlformats.org/spreadsheetml/2006/main" count="86">
  <si>
    <t>京258库飞机-第149单-2015-10-09-28包</t>
  </si>
  <si>
    <t>城市</t>
  </si>
  <si>
    <t>出库单位：258库飞机</t>
  </si>
  <si>
    <t>日期：2015-10-09</t>
  </si>
  <si>
    <t>总包数：28</t>
  </si>
  <si>
    <t>417655￥=67362$</t>
  </si>
  <si>
    <t>总数量：2164</t>
  </si>
  <si>
    <t>总重量：1940.7</t>
  </si>
  <si>
    <t>总体积：10.744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</si>
  <si>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</si>
  <si>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</si>
  <si>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</si>
  <si>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</si>
  <si>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</si>
  <si>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</si>
  <si>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</si>
  <si>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</si>
  <si>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</si>
  <si>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</si>
  <si>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</si>
  <si>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</si>
  <si>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</si>
  <si>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H8486</t>
  </si>
  <si>
    <t>2015-10-08</t>
  </si>
  <si>
    <t>男童皮鞋</t>
  </si>
  <si>
    <t>无</t>
  </si>
  <si>
    <t>女童棉服</t>
  </si>
  <si>
    <t>K MONCLER</t>
  </si>
  <si>
    <t>女童皮鞋</t>
  </si>
  <si>
    <t>H8918</t>
  </si>
  <si>
    <t>2015-10-09</t>
  </si>
  <si>
    <t>女棉服</t>
  </si>
  <si>
    <t>SEAWING</t>
  </si>
  <si>
    <t>1）34kg-28件 2）38.5kg-27件</t>
  </si>
  <si>
    <t>E9344</t>
  </si>
  <si>
    <t>STYLEX</t>
  </si>
  <si>
    <t>1）42kg-30件 2）47.5kg-22件</t>
  </si>
  <si>
    <t>GMS7035</t>
  </si>
  <si>
    <t>2015-10-07</t>
  </si>
  <si>
    <t>成人服装</t>
  </si>
  <si>
    <t>K</t>
  </si>
  <si>
    <t>1）93.4kg  2）47.8kg</t>
  </si>
  <si>
    <t>GMT0369</t>
  </si>
  <si>
    <t>-A</t>
  </si>
  <si>
    <t>GMS0759</t>
  </si>
  <si>
    <t>MS12233</t>
  </si>
  <si>
    <t>男棉服</t>
  </si>
  <si>
    <t>MS6788</t>
  </si>
  <si>
    <t>女童滑雪服</t>
  </si>
  <si>
    <t>1）56件 75.2kg  2）50件 88kg  3）50件  87.8kg  4）50件  65.8kg  5）50件  65.2kg</t>
  </si>
  <si>
    <t>男童滑雪服</t>
  </si>
  <si>
    <t>MT0681</t>
  </si>
  <si>
    <t>女童棉裤</t>
  </si>
  <si>
    <t>K  DG</t>
  </si>
  <si>
    <t>女童短裙</t>
  </si>
  <si>
    <t>XIAOHSAOYE</t>
  </si>
  <si>
    <t>MS11094</t>
  </si>
  <si>
    <t>YUSIYE</t>
  </si>
  <si>
    <t>MT2828A</t>
  </si>
  <si>
    <t>女毛衣</t>
  </si>
  <si>
    <t>嘿美人</t>
  </si>
  <si>
    <t>1）94kg-80件 2）100kg-80件</t>
  </si>
  <si>
    <t>ML0052</t>
  </si>
  <si>
    <t>无件数</t>
  </si>
  <si>
    <t>FRISKY</t>
  </si>
  <si>
    <t>MS12466</t>
  </si>
  <si>
    <t>HANNANLIUNI</t>
  </si>
  <si>
    <t>1）72.5kg-50件 2）73.5kg-50件 3）71kg-50件 4）71.5kg-50件 5）70.5kg-50件</t>
  </si>
  <si>
    <t>GML6906</t>
  </si>
  <si>
    <t>男棉服30kg</t>
  </si>
  <si>
    <t>童装52.2kg</t>
  </si>
  <si>
    <t>ML12111</t>
  </si>
  <si>
    <t>女棉服40kg</t>
  </si>
  <si>
    <t>PEERCAT</t>
  </si>
  <si>
    <t>ML0684</t>
  </si>
  <si>
    <t>男棉服27kg</t>
  </si>
  <si>
    <t>HARRYBERTOIA</t>
  </si>
  <si>
    <t>MS12291</t>
  </si>
  <si>
    <t>男棉服19kg</t>
  </si>
  <si>
    <t>CITYCLASS</t>
  </si>
  <si>
    <t>ML0902</t>
  </si>
  <si>
    <t>女棉服43kg</t>
  </si>
  <si>
    <t>DASER</t>
  </si>
  <si>
    <t>H</t>
  </si>
  <si>
    <t>E</t>
  </si>
  <si>
    <t>M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</si>
</sst>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&quot;￥&quot;#,##0;[Red]&quot;￥&quot;#,##0"/>
    <numFmt numFmtId="177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6" fontId="9" fillId="0" borderId="16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76" fontId="9" fillId="0" borderId="13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18" xfId="0" applyNumberFormat="1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54"/>
  <sheetViews>
    <sheetView tabSelected="1" workbookViewId="0">
      <selection activeCell="J9" sqref="J9:J17"/>
    </sheetView>
  </sheetViews>
  <sheetFormatPr defaultColWidth="9" defaultRowHeight="13.5"/>
  <cols>
    <col min="1" max="1" width="0.25" style="1" customWidth="1"/>
    <col min="2" max="2" width="10.125" style="1" customWidth="1"/>
    <col min="3" max="3" width="9.75" style="1" customWidth="1"/>
    <col min="4" max="4" width="11.125" style="1" customWidth="1"/>
    <col min="5" max="5" width="6.25" style="1" customWidth="1"/>
    <col min="6" max="6" width="12.62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4.25" style="1" customWidth="1"/>
    <col min="14" max="14" width="27.625" style="1" customWidth="1"/>
    <col min="15" max="15" width="1.375" style="1" customWidth="1"/>
    <col min="16" max="16" width="12.625" style="1"/>
    <col min="17" max="16379" width="9" style="1"/>
  </cols>
  <sheetData>
    <row r="1" ht="26.25" customHeight="1" spans="1:15">
      <c r="A1" s="3"/>
      <c r="B1" s="3"/>
      <c r="C1" s="4"/>
      <c r="D1" s="5" t="s">
        <v>0</v>
      </c>
      <c r="E1" s="6"/>
      <c r="F1" s="6"/>
      <c r="G1" s="6"/>
      <c r="H1" s="7"/>
      <c r="I1" s="7"/>
      <c r="J1" s="6"/>
      <c r="K1" s="6"/>
      <c r="L1" s="6"/>
      <c r="M1" s="6"/>
      <c r="N1" s="51"/>
      <c r="O1" s="4"/>
    </row>
    <row r="2" ht="26.25" customHeight="1" spans="1:15">
      <c r="A2" s="8"/>
      <c r="B2" s="9" t="s">
        <v>1</v>
      </c>
      <c r="C2" s="10" t="s">
        <v>2</v>
      </c>
      <c r="D2" s="11"/>
      <c r="E2" s="12" t="s">
        <v>3</v>
      </c>
      <c r="F2" s="13"/>
      <c r="G2" s="12" t="s">
        <v>4</v>
      </c>
      <c r="H2" s="14"/>
      <c r="I2" s="14" t="s">
        <v>5</v>
      </c>
      <c r="J2" s="12"/>
      <c r="K2" s="10" t="s">
        <v>6</v>
      </c>
      <c r="L2" s="11"/>
      <c r="M2" s="10" t="s">
        <v>7</v>
      </c>
      <c r="N2" s="19" t="s">
        <v>8</v>
      </c>
      <c r="O2" s="4"/>
    </row>
    <row r="3" ht="20.25" customHeight="1" spans="1:15">
      <c r="A3" s="15"/>
      <c r="B3" s="16"/>
      <c r="C3" s="10" t="s">
        <v>9</v>
      </c>
      <c r="D3" s="12" t="s">
        <v>10</v>
      </c>
      <c r="E3" s="12" t="s">
        <v>11</v>
      </c>
      <c r="F3" s="17" t="s">
        <v>12</v>
      </c>
      <c r="G3" s="12" t="s">
        <v>13</v>
      </c>
      <c r="H3" s="14" t="s">
        <v>14</v>
      </c>
      <c r="I3" s="14" t="s">
        <v>15</v>
      </c>
      <c r="J3" s="52" t="s">
        <v>16</v>
      </c>
      <c r="K3" s="10" t="s">
        <v>17</v>
      </c>
      <c r="L3" s="12" t="s">
        <v>18</v>
      </c>
      <c r="M3" s="12" t="s">
        <v>19</v>
      </c>
      <c r="N3" s="12" t="s">
        <v>20</v>
      </c>
      <c r="O3" s="53"/>
    </row>
    <row r="4" ht="18" customHeight="1" spans="1:16">
      <c r="A4" s="18"/>
      <c r="B4" s="19" t="s">
        <v>21</v>
      </c>
      <c r="C4" s="20" t="s">
        <v>22</v>
      </c>
      <c r="D4" s="21" t="s">
        <v>23</v>
      </c>
      <c r="E4" s="22">
        <v>1</v>
      </c>
      <c r="F4" s="23" t="s">
        <v>24</v>
      </c>
      <c r="G4" s="24">
        <v>9</v>
      </c>
      <c r="H4" s="25">
        <v>95</v>
      </c>
      <c r="I4" s="54">
        <f>G:G*H:H</f>
        <v>855</v>
      </c>
      <c r="J4" s="55">
        <v>138</v>
      </c>
      <c r="K4" s="30">
        <v>42</v>
      </c>
      <c r="L4" s="23">
        <v>0.29</v>
      </c>
      <c r="M4" s="23" t="s">
        <v>25</v>
      </c>
      <c r="N4" s="23"/>
      <c r="O4" s="56"/>
      <c r="P4" s="57"/>
    </row>
    <row r="5" ht="18" customHeight="1" spans="1:16">
      <c r="A5" s="18"/>
      <c r="B5" s="19" t="s">
        <v>21</v>
      </c>
      <c r="C5" s="26"/>
      <c r="D5" s="27"/>
      <c r="E5" s="22"/>
      <c r="F5" s="23" t="s">
        <v>26</v>
      </c>
      <c r="G5" s="24">
        <v>6</v>
      </c>
      <c r="H5" s="25"/>
      <c r="I5" s="58">
        <v>5100</v>
      </c>
      <c r="J5" s="59">
        <v>823</v>
      </c>
      <c r="K5" s="30"/>
      <c r="L5" s="23"/>
      <c r="M5" s="23" t="s">
        <v>27</v>
      </c>
      <c r="N5" s="23"/>
      <c r="O5" s="56"/>
      <c r="P5" s="57"/>
    </row>
    <row r="6" ht="18" customHeight="1" spans="1:16">
      <c r="A6" s="18"/>
      <c r="B6" s="19" t="s">
        <v>21</v>
      </c>
      <c r="C6" s="26"/>
      <c r="D6" s="27"/>
      <c r="E6" s="22"/>
      <c r="F6" s="23" t="s">
        <v>26</v>
      </c>
      <c r="G6" s="24">
        <v>6</v>
      </c>
      <c r="H6" s="25"/>
      <c r="I6" s="60"/>
      <c r="J6" s="61"/>
      <c r="K6" s="30"/>
      <c r="L6" s="23"/>
      <c r="M6" s="23" t="s">
        <v>27</v>
      </c>
      <c r="N6" s="23"/>
      <c r="O6" s="56"/>
      <c r="P6" s="57"/>
    </row>
    <row r="7" ht="18" customHeight="1" spans="1:16">
      <c r="A7" s="18"/>
      <c r="B7" s="19" t="s">
        <v>21</v>
      </c>
      <c r="C7" s="26"/>
      <c r="D7" s="27"/>
      <c r="E7" s="22"/>
      <c r="F7" s="23" t="s">
        <v>26</v>
      </c>
      <c r="G7" s="24">
        <v>9</v>
      </c>
      <c r="H7" s="25"/>
      <c r="I7" s="54"/>
      <c r="J7" s="62"/>
      <c r="K7" s="30"/>
      <c r="L7" s="23"/>
      <c r="M7" s="23" t="s">
        <v>27</v>
      </c>
      <c r="N7" s="23"/>
      <c r="O7" s="56"/>
      <c r="P7" s="57"/>
    </row>
    <row r="8" ht="18" customHeight="1" spans="1:16">
      <c r="A8" s="18"/>
      <c r="B8" s="19" t="s">
        <v>21</v>
      </c>
      <c r="C8" s="28"/>
      <c r="D8" s="29"/>
      <c r="E8" s="22"/>
      <c r="F8" s="23" t="s">
        <v>28</v>
      </c>
      <c r="G8" s="24">
        <v>17</v>
      </c>
      <c r="H8" s="25">
        <v>100</v>
      </c>
      <c r="I8" s="54">
        <f>G:G*H:H</f>
        <v>1700</v>
      </c>
      <c r="J8" s="55">
        <v>274</v>
      </c>
      <c r="K8" s="30"/>
      <c r="L8" s="23"/>
      <c r="M8" s="23" t="s">
        <v>25</v>
      </c>
      <c r="N8" s="23"/>
      <c r="O8" s="56"/>
      <c r="P8" s="57"/>
    </row>
    <row r="9" ht="18" customHeight="1" spans="1:16">
      <c r="A9" s="18"/>
      <c r="B9" s="19" t="s">
        <v>21</v>
      </c>
      <c r="C9" s="30" t="s">
        <v>29</v>
      </c>
      <c r="D9" s="23" t="s">
        <v>30</v>
      </c>
      <c r="E9" s="22">
        <v>2</v>
      </c>
      <c r="F9" s="23" t="s">
        <v>31</v>
      </c>
      <c r="G9" s="24">
        <v>1</v>
      </c>
      <c r="H9" s="25"/>
      <c r="I9" s="58">
        <v>55800</v>
      </c>
      <c r="J9" s="59">
        <v>9000</v>
      </c>
      <c r="K9" s="30">
        <v>72.5</v>
      </c>
      <c r="L9" s="23">
        <v>0.65</v>
      </c>
      <c r="M9" s="23" t="s">
        <v>32</v>
      </c>
      <c r="N9" s="23" t="s">
        <v>33</v>
      </c>
      <c r="O9" s="56"/>
      <c r="P9" s="57"/>
    </row>
    <row r="10" ht="18" customHeight="1" spans="1:16">
      <c r="A10" s="18"/>
      <c r="B10" s="19" t="s">
        <v>21</v>
      </c>
      <c r="C10" s="30"/>
      <c r="D10" s="23"/>
      <c r="E10" s="22"/>
      <c r="F10" s="23" t="s">
        <v>31</v>
      </c>
      <c r="G10" s="24">
        <v>12</v>
      </c>
      <c r="H10" s="25"/>
      <c r="I10" s="60"/>
      <c r="J10" s="61"/>
      <c r="K10" s="30"/>
      <c r="L10" s="23"/>
      <c r="M10" s="23" t="s">
        <v>32</v>
      </c>
      <c r="N10" s="23"/>
      <c r="O10" s="56"/>
      <c r="P10" s="57"/>
    </row>
    <row r="11" ht="18" customHeight="1" spans="1:16">
      <c r="A11" s="18"/>
      <c r="B11" s="19" t="s">
        <v>21</v>
      </c>
      <c r="C11" s="30"/>
      <c r="D11" s="23"/>
      <c r="E11" s="22"/>
      <c r="F11" s="23" t="s">
        <v>31</v>
      </c>
      <c r="G11" s="24">
        <v>6</v>
      </c>
      <c r="H11" s="25"/>
      <c r="I11" s="60"/>
      <c r="J11" s="61"/>
      <c r="K11" s="30"/>
      <c r="L11" s="23"/>
      <c r="M11" s="23" t="s">
        <v>32</v>
      </c>
      <c r="N11" s="23"/>
      <c r="O11" s="56"/>
      <c r="P11" s="57"/>
    </row>
    <row r="12" ht="18" customHeight="1" spans="1:16">
      <c r="A12" s="18"/>
      <c r="B12" s="19" t="s">
        <v>21</v>
      </c>
      <c r="C12" s="30"/>
      <c r="D12" s="23"/>
      <c r="E12" s="22"/>
      <c r="F12" s="23" t="s">
        <v>31</v>
      </c>
      <c r="G12" s="24">
        <v>6</v>
      </c>
      <c r="H12" s="25"/>
      <c r="I12" s="60"/>
      <c r="J12" s="61"/>
      <c r="K12" s="30"/>
      <c r="L12" s="23"/>
      <c r="M12" s="23" t="s">
        <v>32</v>
      </c>
      <c r="N12" s="23"/>
      <c r="O12" s="56"/>
      <c r="P12" s="57"/>
    </row>
    <row r="13" ht="18" customHeight="1" spans="1:16">
      <c r="A13" s="18"/>
      <c r="B13" s="19" t="s">
        <v>21</v>
      </c>
      <c r="C13" s="30"/>
      <c r="D13" s="23"/>
      <c r="E13" s="22"/>
      <c r="F13" s="23" t="s">
        <v>31</v>
      </c>
      <c r="G13" s="24">
        <v>12</v>
      </c>
      <c r="H13" s="25"/>
      <c r="I13" s="60"/>
      <c r="J13" s="61"/>
      <c r="K13" s="30"/>
      <c r="L13" s="23"/>
      <c r="M13" s="23" t="s">
        <v>32</v>
      </c>
      <c r="N13" s="23"/>
      <c r="O13" s="56"/>
      <c r="P13" s="57"/>
    </row>
    <row r="14" ht="18" customHeight="1" spans="1:16">
      <c r="A14" s="18"/>
      <c r="B14" s="19" t="s">
        <v>21</v>
      </c>
      <c r="C14" s="30"/>
      <c r="D14" s="23"/>
      <c r="E14" s="22"/>
      <c r="F14" s="23" t="s">
        <v>31</v>
      </c>
      <c r="G14" s="24">
        <v>6</v>
      </c>
      <c r="H14" s="25"/>
      <c r="I14" s="60"/>
      <c r="J14" s="61"/>
      <c r="K14" s="30"/>
      <c r="L14" s="23"/>
      <c r="M14" s="23" t="s">
        <v>32</v>
      </c>
      <c r="N14" s="23"/>
      <c r="O14" s="56"/>
      <c r="P14" s="57"/>
    </row>
    <row r="15" ht="18" customHeight="1" spans="1:16">
      <c r="A15" s="18"/>
      <c r="B15" s="19" t="s">
        <v>21</v>
      </c>
      <c r="C15" s="30"/>
      <c r="D15" s="23"/>
      <c r="E15" s="22"/>
      <c r="F15" s="23" t="s">
        <v>31</v>
      </c>
      <c r="G15" s="24">
        <v>6</v>
      </c>
      <c r="H15" s="25"/>
      <c r="I15" s="60"/>
      <c r="J15" s="61"/>
      <c r="K15" s="30"/>
      <c r="L15" s="23"/>
      <c r="M15" s="23" t="s">
        <v>32</v>
      </c>
      <c r="N15" s="23"/>
      <c r="O15" s="56"/>
      <c r="P15" s="57"/>
    </row>
    <row r="16" ht="18" customHeight="1" spans="1:16">
      <c r="A16" s="18"/>
      <c r="B16" s="19" t="s">
        <v>21</v>
      </c>
      <c r="C16" s="30"/>
      <c r="D16" s="23"/>
      <c r="E16" s="22"/>
      <c r="F16" s="23" t="s">
        <v>31</v>
      </c>
      <c r="G16" s="24">
        <v>2</v>
      </c>
      <c r="H16" s="25"/>
      <c r="I16" s="60"/>
      <c r="J16" s="61"/>
      <c r="K16" s="30"/>
      <c r="L16" s="23"/>
      <c r="M16" s="23" t="s">
        <v>32</v>
      </c>
      <c r="N16" s="23"/>
      <c r="O16" s="56"/>
      <c r="P16" s="57"/>
    </row>
    <row r="17" ht="18" customHeight="1" spans="1:16">
      <c r="A17" s="18"/>
      <c r="B17" s="19" t="s">
        <v>21</v>
      </c>
      <c r="C17" s="30"/>
      <c r="D17" s="23"/>
      <c r="E17" s="22"/>
      <c r="F17" s="23" t="s">
        <v>31</v>
      </c>
      <c r="G17" s="24">
        <v>4</v>
      </c>
      <c r="H17" s="25"/>
      <c r="I17" s="54"/>
      <c r="J17" s="62"/>
      <c r="K17" s="30"/>
      <c r="L17" s="23"/>
      <c r="M17" s="23" t="s">
        <v>32</v>
      </c>
      <c r="N17" s="23"/>
      <c r="O17" s="56"/>
      <c r="P17" s="57"/>
    </row>
    <row r="18" ht="18" customHeight="1" spans="1:16">
      <c r="A18" s="18"/>
      <c r="B18" s="19" t="s">
        <v>21</v>
      </c>
      <c r="C18" s="30" t="s">
        <v>34</v>
      </c>
      <c r="D18" s="23" t="s">
        <v>30</v>
      </c>
      <c r="E18" s="22">
        <v>2</v>
      </c>
      <c r="F18" s="23" t="s">
        <v>31</v>
      </c>
      <c r="G18" s="24">
        <v>10</v>
      </c>
      <c r="H18" s="25">
        <v>1058</v>
      </c>
      <c r="I18" s="54">
        <f>G:G*H:H</f>
        <v>10580</v>
      </c>
      <c r="J18" s="55">
        <v>1706</v>
      </c>
      <c r="K18" s="30">
        <v>89.5</v>
      </c>
      <c r="L18" s="23">
        <v>0.617</v>
      </c>
      <c r="M18" s="23" t="s">
        <v>35</v>
      </c>
      <c r="N18" s="23" t="s">
        <v>36</v>
      </c>
      <c r="O18" s="56"/>
      <c r="P18" s="57"/>
    </row>
    <row r="19" ht="18" customHeight="1" spans="1:16">
      <c r="A19" s="18"/>
      <c r="B19" s="19" t="s">
        <v>21</v>
      </c>
      <c r="C19" s="30"/>
      <c r="D19" s="23"/>
      <c r="E19" s="22"/>
      <c r="F19" s="23" t="s">
        <v>31</v>
      </c>
      <c r="G19" s="24">
        <v>20</v>
      </c>
      <c r="H19" s="25">
        <v>932</v>
      </c>
      <c r="I19" s="54">
        <f>G:G*H:H</f>
        <v>18640</v>
      </c>
      <c r="J19" s="55">
        <v>3006</v>
      </c>
      <c r="K19" s="30"/>
      <c r="L19" s="23"/>
      <c r="M19" s="23" t="s">
        <v>35</v>
      </c>
      <c r="N19" s="23"/>
      <c r="O19" s="56"/>
      <c r="P19" s="57"/>
    </row>
    <row r="20" ht="18" customHeight="1" spans="1:16">
      <c r="A20" s="18"/>
      <c r="B20" s="19" t="s">
        <v>21</v>
      </c>
      <c r="C20" s="30"/>
      <c r="D20" s="23"/>
      <c r="E20" s="22"/>
      <c r="F20" s="23" t="s">
        <v>31</v>
      </c>
      <c r="G20" s="24">
        <v>22</v>
      </c>
      <c r="H20" s="25">
        <v>1184</v>
      </c>
      <c r="I20" s="54">
        <f>G:G*H:H</f>
        <v>26048</v>
      </c>
      <c r="J20" s="55">
        <v>4201</v>
      </c>
      <c r="K20" s="30"/>
      <c r="L20" s="23"/>
      <c r="M20" s="23" t="s">
        <v>35</v>
      </c>
      <c r="N20" s="23"/>
      <c r="O20" s="56"/>
      <c r="P20" s="57"/>
    </row>
    <row r="21" ht="18" customHeight="1" spans="1:16">
      <c r="A21" s="31"/>
      <c r="B21" s="19" t="s">
        <v>21</v>
      </c>
      <c r="C21" s="32" t="s">
        <v>37</v>
      </c>
      <c r="D21" s="33" t="s">
        <v>38</v>
      </c>
      <c r="E21" s="34">
        <v>2</v>
      </c>
      <c r="F21" s="35" t="s">
        <v>39</v>
      </c>
      <c r="G21" s="36">
        <v>300</v>
      </c>
      <c r="H21" s="37"/>
      <c r="I21" s="63">
        <v>12000</v>
      </c>
      <c r="J21" s="55">
        <v>1935</v>
      </c>
      <c r="K21" s="32">
        <v>141.2</v>
      </c>
      <c r="L21" s="33">
        <v>0.848</v>
      </c>
      <c r="M21" s="33" t="s">
        <v>40</v>
      </c>
      <c r="N21" s="33" t="s">
        <v>41</v>
      </c>
      <c r="O21" s="56"/>
      <c r="P21" s="57"/>
    </row>
    <row r="22" ht="18" customHeight="1" spans="1:16">
      <c r="A22" s="31"/>
      <c r="B22" s="19" t="s">
        <v>21</v>
      </c>
      <c r="C22" s="32" t="s">
        <v>42</v>
      </c>
      <c r="D22" s="33" t="s">
        <v>38</v>
      </c>
      <c r="E22" s="34">
        <v>1</v>
      </c>
      <c r="F22" s="33" t="s">
        <v>39</v>
      </c>
      <c r="G22" s="36">
        <v>202</v>
      </c>
      <c r="H22" s="37"/>
      <c r="I22" s="63">
        <v>20000</v>
      </c>
      <c r="J22" s="55">
        <v>3226</v>
      </c>
      <c r="K22" s="32">
        <v>76.6</v>
      </c>
      <c r="L22" s="33">
        <v>0.347</v>
      </c>
      <c r="M22" s="33" t="s">
        <v>40</v>
      </c>
      <c r="N22" s="33" t="s">
        <v>43</v>
      </c>
      <c r="O22" s="56"/>
      <c r="P22" s="57"/>
    </row>
    <row r="23" ht="18" customHeight="1" spans="1:16">
      <c r="A23" s="31"/>
      <c r="B23" s="19" t="s">
        <v>21</v>
      </c>
      <c r="C23" s="32" t="s">
        <v>44</v>
      </c>
      <c r="D23" s="33" t="s">
        <v>38</v>
      </c>
      <c r="E23" s="34">
        <v>1</v>
      </c>
      <c r="F23" s="33" t="s">
        <v>39</v>
      </c>
      <c r="G23" s="36">
        <v>229</v>
      </c>
      <c r="H23" s="37"/>
      <c r="I23" s="63">
        <v>17980</v>
      </c>
      <c r="J23" s="55">
        <v>2900</v>
      </c>
      <c r="K23" s="32">
        <v>91.6</v>
      </c>
      <c r="L23" s="33">
        <v>0.41</v>
      </c>
      <c r="M23" s="33" t="s">
        <v>40</v>
      </c>
      <c r="N23" s="33"/>
      <c r="O23" s="56"/>
      <c r="P23" s="57"/>
    </row>
    <row r="24" ht="18" customHeight="1" spans="1:16">
      <c r="A24" s="18"/>
      <c r="B24" s="19" t="s">
        <v>21</v>
      </c>
      <c r="C24" s="28" t="s">
        <v>45</v>
      </c>
      <c r="D24" s="29" t="s">
        <v>30</v>
      </c>
      <c r="E24" s="38">
        <v>1</v>
      </c>
      <c r="F24" s="29" t="s">
        <v>46</v>
      </c>
      <c r="G24" s="39">
        <v>12</v>
      </c>
      <c r="H24" s="40">
        <v>980</v>
      </c>
      <c r="I24" s="54">
        <f>G:G*H:H</f>
        <v>11760</v>
      </c>
      <c r="J24" s="55">
        <v>1897</v>
      </c>
      <c r="K24" s="28">
        <v>70.4</v>
      </c>
      <c r="L24" s="29">
        <v>0.368</v>
      </c>
      <c r="M24" s="29"/>
      <c r="N24" s="29"/>
      <c r="O24" s="56"/>
      <c r="P24" s="57"/>
    </row>
    <row r="25" ht="18" customHeight="1" spans="1:16">
      <c r="A25" s="18"/>
      <c r="B25" s="19" t="s">
        <v>21</v>
      </c>
      <c r="C25" s="30"/>
      <c r="D25" s="23"/>
      <c r="E25" s="22"/>
      <c r="F25" s="23" t="s">
        <v>46</v>
      </c>
      <c r="G25" s="24">
        <v>12</v>
      </c>
      <c r="H25" s="25">
        <v>488</v>
      </c>
      <c r="I25" s="54">
        <f>G:G*H:H</f>
        <v>5856</v>
      </c>
      <c r="J25" s="55">
        <v>945</v>
      </c>
      <c r="K25" s="30"/>
      <c r="L25" s="23"/>
      <c r="M25" s="23"/>
      <c r="N25" s="23"/>
      <c r="O25" s="56"/>
      <c r="P25" s="57"/>
    </row>
    <row r="26" ht="18" customHeight="1" spans="1:16">
      <c r="A26" s="18"/>
      <c r="B26" s="19" t="s">
        <v>21</v>
      </c>
      <c r="C26" s="30"/>
      <c r="D26" s="23"/>
      <c r="E26" s="22"/>
      <c r="F26" s="23" t="s">
        <v>46</v>
      </c>
      <c r="G26" s="24">
        <v>12</v>
      </c>
      <c r="H26" s="25">
        <v>548</v>
      </c>
      <c r="I26" s="54">
        <f>G:G*H:H</f>
        <v>6576</v>
      </c>
      <c r="J26" s="55">
        <v>1061</v>
      </c>
      <c r="K26" s="30"/>
      <c r="L26" s="23"/>
      <c r="M26" s="23"/>
      <c r="N26" s="23"/>
      <c r="O26" s="56"/>
      <c r="P26" s="57"/>
    </row>
    <row r="27" ht="18" customHeight="1" spans="1:16">
      <c r="A27" s="18"/>
      <c r="B27" s="19" t="s">
        <v>21</v>
      </c>
      <c r="C27" s="30" t="s">
        <v>47</v>
      </c>
      <c r="D27" s="23" t="s">
        <v>30</v>
      </c>
      <c r="E27" s="22">
        <v>5</v>
      </c>
      <c r="F27" s="23" t="s">
        <v>48</v>
      </c>
      <c r="G27" s="24">
        <v>100</v>
      </c>
      <c r="H27" s="25">
        <v>200</v>
      </c>
      <c r="I27" s="54">
        <f>G:G*H:H</f>
        <v>20000</v>
      </c>
      <c r="J27" s="55">
        <v>3226</v>
      </c>
      <c r="K27" s="30">
        <v>382</v>
      </c>
      <c r="L27" s="23">
        <v>1.881</v>
      </c>
      <c r="M27" s="23"/>
      <c r="N27" s="23" t="s">
        <v>49</v>
      </c>
      <c r="O27" s="56"/>
      <c r="P27" s="57"/>
    </row>
    <row r="28" ht="18" customHeight="1" spans="1:16">
      <c r="A28" s="18"/>
      <c r="B28" s="19" t="s">
        <v>21</v>
      </c>
      <c r="C28" s="30"/>
      <c r="D28" s="23"/>
      <c r="E28" s="22"/>
      <c r="F28" s="23" t="s">
        <v>50</v>
      </c>
      <c r="G28" s="24">
        <v>10</v>
      </c>
      <c r="H28" s="25">
        <v>200</v>
      </c>
      <c r="I28" s="54">
        <f>G:G*H:H</f>
        <v>2000</v>
      </c>
      <c r="J28" s="55">
        <v>323</v>
      </c>
      <c r="K28" s="30"/>
      <c r="L28" s="23"/>
      <c r="M28" s="23"/>
      <c r="N28" s="23"/>
      <c r="O28" s="56"/>
      <c r="P28" s="57"/>
    </row>
    <row r="29" ht="18" customHeight="1" spans="1:16">
      <c r="A29" s="18"/>
      <c r="B29" s="19" t="s">
        <v>21</v>
      </c>
      <c r="C29" s="30"/>
      <c r="D29" s="23"/>
      <c r="E29" s="22"/>
      <c r="F29" s="23" t="s">
        <v>50</v>
      </c>
      <c r="G29" s="24">
        <v>100</v>
      </c>
      <c r="H29" s="25">
        <v>230</v>
      </c>
      <c r="I29" s="54">
        <f>G:G*H:H</f>
        <v>23000</v>
      </c>
      <c r="J29" s="55">
        <v>3710</v>
      </c>
      <c r="K29" s="30"/>
      <c r="L29" s="23"/>
      <c r="M29" s="23"/>
      <c r="N29" s="23"/>
      <c r="O29" s="56"/>
      <c r="P29" s="57"/>
    </row>
    <row r="30" ht="18" customHeight="1" spans="1:16">
      <c r="A30" s="18"/>
      <c r="B30" s="19" t="s">
        <v>21</v>
      </c>
      <c r="C30" s="30"/>
      <c r="D30" s="23"/>
      <c r="E30" s="22"/>
      <c r="F30" s="23" t="s">
        <v>50</v>
      </c>
      <c r="G30" s="24">
        <v>46</v>
      </c>
      <c r="H30" s="25">
        <v>200</v>
      </c>
      <c r="I30" s="54">
        <f>G:G*H:H</f>
        <v>9200</v>
      </c>
      <c r="J30" s="55">
        <v>1484</v>
      </c>
      <c r="K30" s="30"/>
      <c r="L30" s="23"/>
      <c r="M30" s="23"/>
      <c r="N30" s="23"/>
      <c r="O30" s="56"/>
      <c r="P30" s="57"/>
    </row>
    <row r="31" ht="18" customHeight="1" spans="1:16">
      <c r="A31" s="18"/>
      <c r="B31" s="19" t="s">
        <v>21</v>
      </c>
      <c r="C31" s="30" t="s">
        <v>51</v>
      </c>
      <c r="D31" s="23" t="s">
        <v>30</v>
      </c>
      <c r="E31" s="22">
        <v>1</v>
      </c>
      <c r="F31" s="23" t="s">
        <v>52</v>
      </c>
      <c r="G31" s="24">
        <v>138</v>
      </c>
      <c r="H31" s="25"/>
      <c r="I31" s="58">
        <v>8000</v>
      </c>
      <c r="J31" s="59">
        <v>1290</v>
      </c>
      <c r="K31" s="30">
        <v>59</v>
      </c>
      <c r="L31" s="23">
        <v>0.35</v>
      </c>
      <c r="M31" s="23" t="s">
        <v>53</v>
      </c>
      <c r="N31" s="23"/>
      <c r="O31" s="56"/>
      <c r="P31" s="57"/>
    </row>
    <row r="32" ht="18" customHeight="1" spans="1:16">
      <c r="A32" s="18"/>
      <c r="B32" s="19" t="s">
        <v>21</v>
      </c>
      <c r="C32" s="30"/>
      <c r="D32" s="23"/>
      <c r="E32" s="22"/>
      <c r="F32" s="23" t="s">
        <v>54</v>
      </c>
      <c r="G32" s="24">
        <v>40</v>
      </c>
      <c r="H32" s="25"/>
      <c r="I32" s="54"/>
      <c r="J32" s="62"/>
      <c r="K32" s="30"/>
      <c r="L32" s="23"/>
      <c r="M32" s="23" t="s">
        <v>55</v>
      </c>
      <c r="N32" s="23"/>
      <c r="O32" s="56"/>
      <c r="P32" s="57"/>
    </row>
    <row r="33" ht="18" customHeight="1" spans="1:16">
      <c r="A33" s="18"/>
      <c r="B33" s="19" t="s">
        <v>21</v>
      </c>
      <c r="C33" s="30" t="s">
        <v>56</v>
      </c>
      <c r="D33" s="23" t="s">
        <v>23</v>
      </c>
      <c r="E33" s="22">
        <v>1</v>
      </c>
      <c r="F33" s="23" t="s">
        <v>46</v>
      </c>
      <c r="G33" s="24">
        <v>50</v>
      </c>
      <c r="H33" s="25">
        <v>200</v>
      </c>
      <c r="I33" s="54">
        <f>G:G*H:H</f>
        <v>10000</v>
      </c>
      <c r="J33" s="55">
        <v>1613</v>
      </c>
      <c r="K33" s="30">
        <v>66.5</v>
      </c>
      <c r="L33" s="23">
        <v>0.355</v>
      </c>
      <c r="M33" s="23" t="s">
        <v>57</v>
      </c>
      <c r="N33" s="23"/>
      <c r="O33" s="56"/>
      <c r="P33" s="57"/>
    </row>
    <row r="34" ht="18" customHeight="1" spans="1:16">
      <c r="A34" s="18"/>
      <c r="B34" s="19" t="s">
        <v>21</v>
      </c>
      <c r="C34" s="30" t="s">
        <v>58</v>
      </c>
      <c r="D34" s="23" t="s">
        <v>30</v>
      </c>
      <c r="E34" s="22">
        <v>2</v>
      </c>
      <c r="F34" s="23" t="s">
        <v>59</v>
      </c>
      <c r="G34" s="24">
        <v>80</v>
      </c>
      <c r="H34" s="25">
        <v>120</v>
      </c>
      <c r="I34" s="54">
        <f>G:G*H:H</f>
        <v>9600</v>
      </c>
      <c r="J34" s="55">
        <v>1548</v>
      </c>
      <c r="K34" s="30">
        <v>194</v>
      </c>
      <c r="L34" s="23">
        <v>0.668</v>
      </c>
      <c r="M34" s="23" t="s">
        <v>60</v>
      </c>
      <c r="N34" s="23" t="s">
        <v>61</v>
      </c>
      <c r="O34" s="56"/>
      <c r="P34" s="57"/>
    </row>
    <row r="35" ht="18" customHeight="1" spans="1:16">
      <c r="A35" s="18"/>
      <c r="B35" s="19" t="s">
        <v>21</v>
      </c>
      <c r="C35" s="30"/>
      <c r="D35" s="23"/>
      <c r="E35" s="22"/>
      <c r="F35" s="23" t="s">
        <v>59</v>
      </c>
      <c r="G35" s="24">
        <v>80</v>
      </c>
      <c r="H35" s="25">
        <v>120</v>
      </c>
      <c r="I35" s="54">
        <f>G:G*H:H</f>
        <v>9600</v>
      </c>
      <c r="J35" s="55">
        <v>1548</v>
      </c>
      <c r="K35" s="30"/>
      <c r="L35" s="23"/>
      <c r="M35" s="23" t="s">
        <v>60</v>
      </c>
      <c r="N35" s="23"/>
      <c r="O35" s="56"/>
      <c r="P35" s="57"/>
    </row>
    <row r="36" ht="18" customHeight="1" spans="1:16">
      <c r="A36" s="18"/>
      <c r="B36" s="19" t="s">
        <v>21</v>
      </c>
      <c r="C36" s="30" t="s">
        <v>62</v>
      </c>
      <c r="D36" s="23" t="s">
        <v>30</v>
      </c>
      <c r="E36" s="22">
        <v>1</v>
      </c>
      <c r="F36" s="23" t="s">
        <v>31</v>
      </c>
      <c r="G36" s="24" t="s">
        <v>63</v>
      </c>
      <c r="H36" s="25"/>
      <c r="I36" s="64">
        <v>18000</v>
      </c>
      <c r="J36" s="55">
        <v>2903</v>
      </c>
      <c r="K36" s="30">
        <v>82.5</v>
      </c>
      <c r="L36" s="23">
        <v>0.378</v>
      </c>
      <c r="M36" s="23" t="s">
        <v>64</v>
      </c>
      <c r="N36" s="23"/>
      <c r="O36" s="56"/>
      <c r="P36" s="57"/>
    </row>
    <row r="37" ht="18" customHeight="1" spans="1:16">
      <c r="A37" s="18"/>
      <c r="B37" s="19" t="s">
        <v>21</v>
      </c>
      <c r="C37" s="30" t="s">
        <v>65</v>
      </c>
      <c r="D37" s="23" t="s">
        <v>30</v>
      </c>
      <c r="E37" s="22">
        <v>5</v>
      </c>
      <c r="F37" s="23" t="s">
        <v>31</v>
      </c>
      <c r="G37" s="24">
        <v>40</v>
      </c>
      <c r="H37" s="25">
        <v>220</v>
      </c>
      <c r="I37" s="54">
        <f>G:G*H:H</f>
        <v>8800</v>
      </c>
      <c r="J37" s="55">
        <v>1419</v>
      </c>
      <c r="K37" s="30">
        <v>359</v>
      </c>
      <c r="L37" s="23">
        <v>2</v>
      </c>
      <c r="M37" s="23" t="s">
        <v>66</v>
      </c>
      <c r="N37" s="23" t="s">
        <v>67</v>
      </c>
      <c r="O37" s="56"/>
      <c r="P37" s="57"/>
    </row>
    <row r="38" ht="18" customHeight="1" spans="1:16">
      <c r="A38" s="18"/>
      <c r="B38" s="19" t="s">
        <v>21</v>
      </c>
      <c r="C38" s="30"/>
      <c r="D38" s="23"/>
      <c r="E38" s="22"/>
      <c r="F38" s="23" t="s">
        <v>31</v>
      </c>
      <c r="G38" s="24">
        <v>50</v>
      </c>
      <c r="H38" s="25">
        <v>220</v>
      </c>
      <c r="I38" s="54">
        <f>G:G*H:H</f>
        <v>11000</v>
      </c>
      <c r="J38" s="55">
        <v>1774</v>
      </c>
      <c r="K38" s="30"/>
      <c r="L38" s="23"/>
      <c r="M38" s="23" t="s">
        <v>66</v>
      </c>
      <c r="N38" s="23"/>
      <c r="O38" s="56"/>
      <c r="P38" s="57"/>
    </row>
    <row r="39" ht="18" customHeight="1" spans="1:16">
      <c r="A39" s="18"/>
      <c r="B39" s="19" t="s">
        <v>21</v>
      </c>
      <c r="C39" s="30"/>
      <c r="D39" s="23"/>
      <c r="E39" s="22"/>
      <c r="F39" s="23" t="s">
        <v>31</v>
      </c>
      <c r="G39" s="24">
        <v>60</v>
      </c>
      <c r="H39" s="25">
        <v>220</v>
      </c>
      <c r="I39" s="54">
        <f>G:G*H:H</f>
        <v>13200</v>
      </c>
      <c r="J39" s="55">
        <v>2129</v>
      </c>
      <c r="K39" s="30"/>
      <c r="L39" s="23"/>
      <c r="M39" s="23" t="s">
        <v>66</v>
      </c>
      <c r="N39" s="23"/>
      <c r="O39" s="56"/>
      <c r="P39" s="57"/>
    </row>
    <row r="40" ht="18" customHeight="1" spans="1:16">
      <c r="A40" s="18"/>
      <c r="B40" s="19" t="s">
        <v>21</v>
      </c>
      <c r="C40" s="30"/>
      <c r="D40" s="23"/>
      <c r="E40" s="22"/>
      <c r="F40" s="23" t="s">
        <v>31</v>
      </c>
      <c r="G40" s="24">
        <v>50</v>
      </c>
      <c r="H40" s="25">
        <v>220</v>
      </c>
      <c r="I40" s="54">
        <f>G:G*H:H</f>
        <v>11000</v>
      </c>
      <c r="J40" s="55">
        <v>1774</v>
      </c>
      <c r="K40" s="30"/>
      <c r="L40" s="23"/>
      <c r="M40" s="23" t="s">
        <v>66</v>
      </c>
      <c r="N40" s="23"/>
      <c r="O40" s="56"/>
      <c r="P40" s="57"/>
    </row>
    <row r="41" ht="18" customHeight="1" spans="1:16">
      <c r="A41" s="18"/>
      <c r="B41" s="19" t="s">
        <v>21</v>
      </c>
      <c r="C41" s="30"/>
      <c r="D41" s="23"/>
      <c r="E41" s="22"/>
      <c r="F41" s="23" t="s">
        <v>31</v>
      </c>
      <c r="G41" s="24">
        <v>50</v>
      </c>
      <c r="H41" s="25">
        <v>220</v>
      </c>
      <c r="I41" s="54">
        <f>G:G*H:H</f>
        <v>11000</v>
      </c>
      <c r="J41" s="55">
        <v>1774</v>
      </c>
      <c r="K41" s="30"/>
      <c r="L41" s="23"/>
      <c r="M41" s="23" t="s">
        <v>66</v>
      </c>
      <c r="N41" s="23"/>
      <c r="O41" s="56"/>
      <c r="P41" s="57"/>
    </row>
    <row r="42" ht="18" customHeight="1" spans="1:16">
      <c r="A42" s="31"/>
      <c r="B42" s="19" t="s">
        <v>21</v>
      </c>
      <c r="C42" s="32" t="s">
        <v>68</v>
      </c>
      <c r="D42" s="33" t="s">
        <v>38</v>
      </c>
      <c r="E42" s="34">
        <v>1</v>
      </c>
      <c r="F42" s="35" t="s">
        <v>69</v>
      </c>
      <c r="G42" s="36">
        <v>51</v>
      </c>
      <c r="H42" s="37"/>
      <c r="I42" s="63">
        <v>9920</v>
      </c>
      <c r="J42" s="55">
        <v>1600</v>
      </c>
      <c r="K42" s="32">
        <v>83.4</v>
      </c>
      <c r="L42" s="33">
        <v>0.472</v>
      </c>
      <c r="M42" s="33" t="s">
        <v>40</v>
      </c>
      <c r="N42" s="33"/>
      <c r="O42" s="56"/>
      <c r="P42" s="57"/>
    </row>
    <row r="43" ht="18" customHeight="1" spans="1:16">
      <c r="A43" s="31"/>
      <c r="B43" s="19" t="s">
        <v>21</v>
      </c>
      <c r="C43" s="32" t="s">
        <v>42</v>
      </c>
      <c r="D43" s="33" t="s">
        <v>38</v>
      </c>
      <c r="E43" s="34"/>
      <c r="F43" s="33" t="s">
        <v>70</v>
      </c>
      <c r="G43" s="41">
        <v>207</v>
      </c>
      <c r="H43" s="42"/>
      <c r="I43" s="65">
        <v>8000</v>
      </c>
      <c r="J43" s="55">
        <v>1290</v>
      </c>
      <c r="K43" s="32"/>
      <c r="L43" s="33"/>
      <c r="M43" s="33" t="s">
        <v>40</v>
      </c>
      <c r="N43" s="33"/>
      <c r="O43" s="56"/>
      <c r="P43" s="57"/>
    </row>
    <row r="44" ht="18" customHeight="1" spans="1:16">
      <c r="A44" s="18"/>
      <c r="B44" s="19" t="s">
        <v>21</v>
      </c>
      <c r="C44" s="30" t="s">
        <v>71</v>
      </c>
      <c r="D44" s="23" t="s">
        <v>30</v>
      </c>
      <c r="E44" s="22">
        <v>1</v>
      </c>
      <c r="F44" s="23" t="s">
        <v>72</v>
      </c>
      <c r="G44" s="24">
        <v>20</v>
      </c>
      <c r="H44" s="25">
        <v>400</v>
      </c>
      <c r="I44" s="54">
        <f>G:G*H:H</f>
        <v>8000</v>
      </c>
      <c r="J44" s="55">
        <v>1290</v>
      </c>
      <c r="K44" s="30">
        <v>68</v>
      </c>
      <c r="L44" s="23">
        <v>0.628</v>
      </c>
      <c r="M44" s="23" t="s">
        <v>73</v>
      </c>
      <c r="N44" s="23"/>
      <c r="O44" s="56"/>
      <c r="P44" s="57"/>
    </row>
    <row r="45" ht="18" customHeight="1" spans="1:16">
      <c r="A45" s="18"/>
      <c r="B45" s="19" t="s">
        <v>21</v>
      </c>
      <c r="C45" s="30"/>
      <c r="D45" s="23"/>
      <c r="E45" s="22"/>
      <c r="F45" s="23" t="s">
        <v>31</v>
      </c>
      <c r="G45" s="24">
        <v>5</v>
      </c>
      <c r="H45" s="25">
        <v>400</v>
      </c>
      <c r="I45" s="54">
        <f>G:G*H:H</f>
        <v>2000</v>
      </c>
      <c r="J45" s="55">
        <v>323</v>
      </c>
      <c r="K45" s="30"/>
      <c r="L45" s="23"/>
      <c r="M45" s="23" t="s">
        <v>73</v>
      </c>
      <c r="N45" s="23"/>
      <c r="O45" s="56"/>
      <c r="P45" s="57"/>
    </row>
    <row r="46" ht="18" customHeight="1" spans="1:16">
      <c r="A46" s="18"/>
      <c r="B46" s="19" t="s">
        <v>21</v>
      </c>
      <c r="C46" s="30" t="s">
        <v>74</v>
      </c>
      <c r="D46" s="23" t="s">
        <v>30</v>
      </c>
      <c r="E46" s="22"/>
      <c r="F46" s="23" t="s">
        <v>75</v>
      </c>
      <c r="G46" s="24">
        <v>17</v>
      </c>
      <c r="H46" s="25">
        <v>360</v>
      </c>
      <c r="I46" s="54">
        <f>G:G*H:H</f>
        <v>6120</v>
      </c>
      <c r="J46" s="55">
        <v>987</v>
      </c>
      <c r="K46" s="30"/>
      <c r="L46" s="23"/>
      <c r="M46" s="23" t="s">
        <v>76</v>
      </c>
      <c r="N46" s="23"/>
      <c r="O46" s="56"/>
      <c r="P46" s="57"/>
    </row>
    <row r="47" ht="18" customHeight="1" spans="1:16">
      <c r="A47" s="18"/>
      <c r="B47" s="19" t="s">
        <v>21</v>
      </c>
      <c r="C47" s="30"/>
      <c r="D47" s="23"/>
      <c r="E47" s="22"/>
      <c r="F47" s="23" t="s">
        <v>46</v>
      </c>
      <c r="G47" s="24">
        <v>17</v>
      </c>
      <c r="H47" s="25">
        <v>360</v>
      </c>
      <c r="I47" s="54">
        <f>G:G*H:H</f>
        <v>6120</v>
      </c>
      <c r="J47" s="55">
        <v>987</v>
      </c>
      <c r="K47" s="30"/>
      <c r="L47" s="23"/>
      <c r="M47" s="23" t="s">
        <v>76</v>
      </c>
      <c r="N47" s="23"/>
      <c r="O47" s="56"/>
      <c r="P47" s="57"/>
    </row>
    <row r="48" ht="18" customHeight="1" spans="1:16">
      <c r="A48" s="18"/>
      <c r="B48" s="19" t="s">
        <v>21</v>
      </c>
      <c r="C48" s="30" t="s">
        <v>77</v>
      </c>
      <c r="D48" s="23" t="s">
        <v>30</v>
      </c>
      <c r="E48" s="22">
        <v>1</v>
      </c>
      <c r="F48" s="23" t="s">
        <v>78</v>
      </c>
      <c r="G48" s="24">
        <v>12</v>
      </c>
      <c r="H48" s="25">
        <v>650</v>
      </c>
      <c r="I48" s="54">
        <f>G:G*H:H</f>
        <v>7800</v>
      </c>
      <c r="J48" s="55">
        <v>1258</v>
      </c>
      <c r="K48" s="30">
        <v>62.5</v>
      </c>
      <c r="L48" s="23">
        <v>0.482</v>
      </c>
      <c r="M48" s="23" t="s">
        <v>79</v>
      </c>
      <c r="N48" s="23"/>
      <c r="O48" s="56"/>
      <c r="P48" s="57"/>
    </row>
    <row r="49" ht="18" customHeight="1" spans="1:16">
      <c r="A49" s="18"/>
      <c r="B49" s="19" t="s">
        <v>21</v>
      </c>
      <c r="C49" s="20" t="s">
        <v>80</v>
      </c>
      <c r="D49" s="21" t="s">
        <v>30</v>
      </c>
      <c r="E49" s="43"/>
      <c r="F49" s="21" t="s">
        <v>81</v>
      </c>
      <c r="G49" s="44">
        <v>20</v>
      </c>
      <c r="H49" s="45">
        <v>620</v>
      </c>
      <c r="I49" s="60">
        <f>G:G*H:H</f>
        <v>12400</v>
      </c>
      <c r="J49" s="55">
        <v>2000</v>
      </c>
      <c r="K49" s="20"/>
      <c r="L49" s="21"/>
      <c r="M49" s="21" t="s">
        <v>82</v>
      </c>
      <c r="N49" s="21"/>
      <c r="O49" s="56"/>
      <c r="P49" s="57"/>
    </row>
    <row r="50" ht="21" customHeight="1" spans="2:14">
      <c r="B50" s="46"/>
      <c r="C50" s="47"/>
      <c r="D50" s="48"/>
      <c r="E50" s="48"/>
      <c r="F50" s="48"/>
      <c r="G50" s="48"/>
      <c r="H50" s="49"/>
      <c r="I50" s="49"/>
      <c r="J50" s="66"/>
      <c r="K50" s="48"/>
      <c r="L50" s="48"/>
      <c r="M50" s="48"/>
      <c r="N50" s="48"/>
    </row>
    <row r="51" ht="21" customHeight="1" spans="2:14">
      <c r="B51" s="46"/>
      <c r="C51" s="47"/>
      <c r="D51" s="48"/>
      <c r="E51" s="50" t="s">
        <v>83</v>
      </c>
      <c r="F51" s="50">
        <v>3</v>
      </c>
      <c r="G51" s="50">
        <v>114.5</v>
      </c>
      <c r="H51" s="50">
        <v>0.94</v>
      </c>
      <c r="I51" s="49"/>
      <c r="J51" s="48"/>
      <c r="K51" s="48"/>
      <c r="L51" s="48"/>
      <c r="M51" s="48"/>
      <c r="N51" s="48"/>
    </row>
    <row r="52" ht="21" customHeight="1" spans="2:14">
      <c r="B52" s="46"/>
      <c r="C52" s="47"/>
      <c r="D52" s="48"/>
      <c r="E52" s="50" t="s">
        <v>84</v>
      </c>
      <c r="F52" s="50">
        <v>2</v>
      </c>
      <c r="G52" s="50">
        <v>89.5</v>
      </c>
      <c r="H52" s="50">
        <v>0.617</v>
      </c>
      <c r="I52" s="49"/>
      <c r="J52" s="48"/>
      <c r="K52" s="48"/>
      <c r="L52" s="48"/>
      <c r="M52" s="48"/>
      <c r="N52" s="48"/>
    </row>
    <row r="53" ht="21" customHeight="1" spans="2:14">
      <c r="B53" s="46"/>
      <c r="C53" s="47"/>
      <c r="D53" s="48"/>
      <c r="E53" s="50" t="s">
        <v>85</v>
      </c>
      <c r="F53" s="50">
        <v>23</v>
      </c>
      <c r="G53" s="50">
        <v>1736.7</v>
      </c>
      <c r="H53" s="50">
        <v>9.187</v>
      </c>
      <c r="I53" s="49"/>
      <c r="J53" s="48"/>
      <c r="K53" s="48"/>
      <c r="L53" s="48"/>
      <c r="M53" s="48"/>
      <c r="N53" s="48"/>
    </row>
    <row r="54" ht="21" customHeight="1" spans="2:14">
      <c r="B54" s="46"/>
      <c r="C54" s="47"/>
      <c r="D54" s="48"/>
      <c r="E54" s="50"/>
      <c r="F54" s="50">
        <f t="shared" ref="F54:H54" si="0">SUM(F51:F53)</f>
        <v>28</v>
      </c>
      <c r="G54" s="50">
        <f>SUM(G51:G53)</f>
        <v>1940.7</v>
      </c>
      <c r="H54" s="50">
        <f>SUM(H51:H53)</f>
        <v>10.744</v>
      </c>
      <c r="I54" s="49"/>
      <c r="J54" s="48"/>
      <c r="K54" s="48"/>
      <c r="L54" s="48"/>
      <c r="M54" s="48"/>
      <c r="N54" s="48"/>
    </row>
  </sheetData>
  <mergeCells count="76">
    <mergeCell ref="D1:N1"/>
    <mergeCell ref="C2:D2"/>
    <mergeCell ref="E2:F2"/>
    <mergeCell ref="G2:H2"/>
    <mergeCell ref="I2:J2"/>
    <mergeCell ref="K2:L2"/>
    <mergeCell ref="C4:C8"/>
    <mergeCell ref="C9:C17"/>
    <mergeCell ref="C18:C20"/>
    <mergeCell ref="C24:C26"/>
    <mergeCell ref="C27:C30"/>
    <mergeCell ref="C31:C32"/>
    <mergeCell ref="C34:C35"/>
    <mergeCell ref="C37:C41"/>
    <mergeCell ref="C44:C45"/>
    <mergeCell ref="C46:C47"/>
    <mergeCell ref="D4:D8"/>
    <mergeCell ref="D9:D17"/>
    <mergeCell ref="D18:D20"/>
    <mergeCell ref="D24:D26"/>
    <mergeCell ref="D27:D30"/>
    <mergeCell ref="D31:D32"/>
    <mergeCell ref="D34:D35"/>
    <mergeCell ref="D37:D41"/>
    <mergeCell ref="D44:D45"/>
    <mergeCell ref="D46:D47"/>
    <mergeCell ref="E4:E8"/>
    <mergeCell ref="E9:E17"/>
    <mergeCell ref="E18:E20"/>
    <mergeCell ref="E24:E26"/>
    <mergeCell ref="E27:E30"/>
    <mergeCell ref="E31:E32"/>
    <mergeCell ref="E34:E35"/>
    <mergeCell ref="E37:E41"/>
    <mergeCell ref="E42:E43"/>
    <mergeCell ref="E44:E47"/>
    <mergeCell ref="E48:E49"/>
    <mergeCell ref="I5:I7"/>
    <mergeCell ref="I9:I17"/>
    <mergeCell ref="I31:I32"/>
    <mergeCell ref="J5:J7"/>
    <mergeCell ref="J9:J17"/>
    <mergeCell ref="J31:J32"/>
    <mergeCell ref="K4:K8"/>
    <mergeCell ref="K9:K17"/>
    <mergeCell ref="K18:K20"/>
    <mergeCell ref="K24:K26"/>
    <mergeCell ref="K27:K30"/>
    <mergeCell ref="K31:K32"/>
    <mergeCell ref="K34:K35"/>
    <mergeCell ref="K37:K41"/>
    <mergeCell ref="K42:K43"/>
    <mergeCell ref="K44:K47"/>
    <mergeCell ref="K48:K49"/>
    <mergeCell ref="L4:L8"/>
    <mergeCell ref="L9:L17"/>
    <mergeCell ref="L18:L20"/>
    <mergeCell ref="L24:L26"/>
    <mergeCell ref="L27:L30"/>
    <mergeCell ref="L31:L32"/>
    <mergeCell ref="L34:L35"/>
    <mergeCell ref="L37:L41"/>
    <mergeCell ref="L42:L43"/>
    <mergeCell ref="L44:L47"/>
    <mergeCell ref="L48:L49"/>
    <mergeCell ref="N4:N8"/>
    <mergeCell ref="N9:N17"/>
    <mergeCell ref="N18:N20"/>
    <mergeCell ref="N24:N26"/>
    <mergeCell ref="N27:N30"/>
    <mergeCell ref="N31:N32"/>
    <mergeCell ref="N34:N35"/>
    <mergeCell ref="N37:N41"/>
    <mergeCell ref="N42:N43"/>
    <mergeCell ref="N44:N47"/>
    <mergeCell ref="N48:N49"/>
  </mergeCells>
  <printOptions verticalCentered="1"/>
  <pageMargins left="0.118055555555556" right="0.118055555555556" top="0.118055555555556" bottom="0.118055555555556" header="0.3" footer="0.3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京258库飞机-第149单-2015-10-09-28包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username</cp:lastModifiedBy>
  <dcterms:created xsi:type="dcterms:W3CDTF">2011-12-31T06:39:00Z</dcterms:created>
  <dcterms:modified xsi:type="dcterms:W3CDTF">2015-10-09T16:40:47Z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