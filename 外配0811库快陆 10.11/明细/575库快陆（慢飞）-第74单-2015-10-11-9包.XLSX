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8540" windowHeight="8520"/>
  </bookViews>
  <sheets>
    <sheet name="京258库快陆（慢飞）-第74单-2015-10-11-9包" sheetId="1" r:id="rId1"/>
  </sheets>
  <calcPr calcId="144525"/>
</workbook>
</file>

<file path=xl/calcChain.xml><?xml version="1.0" encoding="utf-8"?>
<calcChain xmlns="http://schemas.openxmlformats.org/spreadsheetml/2006/main">
  <c r="I28" i="1"/>
  <c r="I27"/>
  <c r="I26"/>
  <c r="I25"/>
  <c r="I24"/>
  <c r="I23"/>
  <c r="I20"/>
  <c r="I19"/>
  <c r="I18"/>
  <c r="I17"/>
  <c r="I16"/>
  <c r="I15"/>
  <c r="I14"/>
  <c r="I13"/>
  <c r="I12"/>
  <c r="I11"/>
  <c r="I10"/>
  <c r="I9"/>
  <c r="I8"/>
  <c r="I7"/>
  <c r="I6"/>
  <c r="I5"/>
</calcChain>
</file>

<file path=xl/sharedStrings.xml><?xml version="1.0" encoding="utf-8"?>
<sst xmlns="http://schemas.openxmlformats.org/spreadsheetml/2006/main" count="114" uniqueCount="52">
  <si>
    <t>京258库快陆（慢飞）-第74单-2015-10-11-9包</t>
  </si>
  <si>
    <t>城市</t>
  </si>
  <si>
    <t>出库单位：258库快陆（慢飞）</t>
  </si>
  <si>
    <t>日期：2015-10-11</t>
  </si>
  <si>
    <t>总包数：9</t>
  </si>
  <si>
    <t>99412￥=16037$</t>
  </si>
  <si>
    <t>总数量：920</t>
  </si>
  <si>
    <t>总重量：526.3</t>
  </si>
  <si>
    <t>总体积：3.344</t>
  </si>
  <si>
    <t>货主</t>
  </si>
  <si>
    <t>入库日期</t>
  </si>
  <si>
    <t>包数</t>
  </si>
  <si>
    <t>品名</t>
  </si>
  <si>
    <t>件数</t>
  </si>
  <si>
    <t>单价</t>
  </si>
  <si>
    <t>总货值</t>
  </si>
  <si>
    <t>总货值$</t>
  </si>
  <si>
    <t>公斤数</t>
  </si>
  <si>
    <t>立方数</t>
  </si>
  <si>
    <t>品牌</t>
  </si>
  <si>
    <t>备注</t>
  </si>
  <si>
    <t>莫斯科</t>
  </si>
  <si>
    <t>MT0115</t>
  </si>
  <si>
    <t>2015-10-11</t>
  </si>
  <si>
    <t>童连衣裙</t>
  </si>
  <si>
    <t>1）330件 83kg 2）120件 58.8kg 3）120件 58kg</t>
  </si>
  <si>
    <t>MS6306</t>
  </si>
  <si>
    <t>女童滑雪服</t>
  </si>
  <si>
    <t>1）75kg-107件 2）69.5kg-67件</t>
  </si>
  <si>
    <t>男童滑雪裤</t>
  </si>
  <si>
    <t>女童滑雪裤</t>
  </si>
  <si>
    <t>MS12526</t>
  </si>
  <si>
    <t>女棉服</t>
  </si>
  <si>
    <t>NINECODAFOX</t>
  </si>
  <si>
    <t>ML12347</t>
  </si>
  <si>
    <t>2015-10-09</t>
  </si>
  <si>
    <t>女皮靴</t>
  </si>
  <si>
    <t>MATVI</t>
  </si>
  <si>
    <t>ML6315</t>
  </si>
  <si>
    <t>2015-10-10</t>
  </si>
  <si>
    <t>女童棉服</t>
  </si>
  <si>
    <t>NEWSOON</t>
  </si>
  <si>
    <t>ML6661</t>
  </si>
  <si>
    <t>女童连衣裙7.5kg</t>
  </si>
  <si>
    <t>AZBUKA</t>
  </si>
  <si>
    <t>女童连衣裙</t>
  </si>
  <si>
    <t>MS0920</t>
  </si>
  <si>
    <t>男童牛仔裤27.5kg</t>
  </si>
  <si>
    <t>MERKIATO</t>
  </si>
  <si>
    <t>男童牛仔裤</t>
  </si>
  <si>
    <t>MS6369</t>
  </si>
  <si>
    <t>女童滑雪服27kg</t>
  </si>
</sst>
</file>

<file path=xl/styles.xml><?xml version="1.0" encoding="utf-8"?>
<styleSheet xmlns="http://schemas.openxmlformats.org/spreadsheetml/2006/main">
  <numFmts count="2">
    <numFmt numFmtId="176" formatCode="&quot;￥&quot;#,##0;[Red]&quot;￥&quot;#,##0"/>
    <numFmt numFmtId="177" formatCode="0;[Red]0"/>
  </numFmts>
  <fonts count="12">
    <font>
      <sz val="11"/>
      <color indexed="8"/>
      <name val="宋体"/>
      <charset val="134"/>
    </font>
    <font>
      <b/>
      <sz val="18"/>
      <color indexed="8"/>
      <name val="微软雅黑"/>
      <charset val="134"/>
    </font>
    <font>
      <b/>
      <sz val="16"/>
      <color indexed="8"/>
      <name val="宋体"/>
      <charset val="134"/>
    </font>
    <font>
      <b/>
      <sz val="16"/>
      <color indexed="8"/>
      <name val="微软雅黑"/>
      <charset val="134"/>
    </font>
    <font>
      <sz val="16"/>
      <color indexed="8"/>
      <name val="微软雅黑"/>
      <charset val="134"/>
    </font>
    <font>
      <sz val="11"/>
      <color indexed="8"/>
      <name val="微软雅黑"/>
      <charset val="134"/>
    </font>
    <font>
      <sz val="16"/>
      <color indexed="8"/>
      <name val="宋体"/>
      <charset val="134"/>
    </font>
    <font>
      <sz val="12"/>
      <color indexed="8"/>
      <name val="微软雅黑"/>
      <charset val="134"/>
    </font>
    <font>
      <sz val="14"/>
      <color indexed="8"/>
      <name val="微软雅黑"/>
      <charset val="134"/>
    </font>
    <font>
      <sz val="10"/>
      <color indexed="8"/>
      <name val="微软雅黑"/>
      <charset val="134"/>
    </font>
    <font>
      <b/>
      <sz val="12"/>
      <color indexed="8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0"/>
      </left>
      <right/>
      <top style="thin">
        <color indexed="8"/>
      </top>
      <bottom/>
      <diagonal/>
    </border>
    <border>
      <left style="thin">
        <color indexed="0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76" fontId="5" fillId="0" borderId="4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3" fontId="9" fillId="0" borderId="4" xfId="0" applyNumberFormat="1" applyFont="1" applyBorder="1" applyAlignment="1">
      <alignment horizontal="center" vertical="center" wrapText="1"/>
    </xf>
    <xf numFmtId="176" fontId="9" fillId="0" borderId="4" xfId="0" applyNumberFormat="1" applyFont="1" applyBorder="1" applyAlignment="1">
      <alignment horizontal="center" vertical="center" wrapText="1"/>
    </xf>
    <xf numFmtId="3" fontId="9" fillId="0" borderId="10" xfId="0" applyNumberFormat="1" applyFont="1" applyBorder="1" applyAlignment="1">
      <alignment horizontal="center" vertical="center" wrapText="1"/>
    </xf>
    <xf numFmtId="176" fontId="9" fillId="0" borderId="10" xfId="0" applyNumberFormat="1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1" fontId="9" fillId="0" borderId="13" xfId="0" applyNumberFormat="1" applyFont="1" applyBorder="1" applyAlignment="1">
      <alignment horizontal="center" vertical="center" wrapText="1"/>
    </xf>
    <xf numFmtId="3" fontId="9" fillId="0" borderId="13" xfId="0" applyNumberFormat="1" applyFont="1" applyBorder="1" applyAlignment="1">
      <alignment horizontal="center" vertical="center" wrapText="1"/>
    </xf>
    <xf numFmtId="176" fontId="9" fillId="0" borderId="13" xfId="0" applyNumberFormat="1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1" fontId="9" fillId="0" borderId="15" xfId="0" applyNumberFormat="1" applyFont="1" applyBorder="1" applyAlignment="1">
      <alignment horizontal="center" vertical="center" wrapText="1"/>
    </xf>
    <xf numFmtId="3" fontId="9" fillId="0" borderId="15" xfId="0" applyNumberFormat="1" applyFont="1" applyBorder="1" applyAlignment="1">
      <alignment horizontal="center" vertical="center" wrapText="1"/>
    </xf>
    <xf numFmtId="176" fontId="9" fillId="0" borderId="15" xfId="0" applyNumberFormat="1" applyFont="1" applyBorder="1" applyAlignment="1">
      <alignment horizontal="center" vertical="center" wrapText="1"/>
    </xf>
    <xf numFmtId="176" fontId="9" fillId="0" borderId="16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176" fontId="9" fillId="0" borderId="3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76" fontId="5" fillId="0" borderId="4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 wrapText="1"/>
    </xf>
    <xf numFmtId="1" fontId="9" fillId="0" borderId="15" xfId="0" applyNumberFormat="1" applyFont="1" applyBorder="1" applyAlignment="1">
      <alignment horizontal="center" vertical="center" wrapText="1"/>
    </xf>
    <xf numFmtId="176" fontId="9" fillId="0" borderId="18" xfId="0" applyNumberFormat="1" applyFont="1" applyBorder="1" applyAlignment="1">
      <alignment horizontal="center" vertical="center" wrapText="1"/>
    </xf>
    <xf numFmtId="176" fontId="9" fillId="0" borderId="19" xfId="0" applyNumberFormat="1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EW28"/>
  <sheetViews>
    <sheetView tabSelected="1" zoomScale="85" zoomScaleNormal="85" workbookViewId="0">
      <selection activeCell="N23" sqref="N23:N28"/>
    </sheetView>
  </sheetViews>
  <sheetFormatPr defaultColWidth="9" defaultRowHeight="13.5"/>
  <cols>
    <col min="1" max="1" width="0.25" style="1" customWidth="1"/>
    <col min="2" max="2" width="11.5" style="1" customWidth="1"/>
    <col min="3" max="3" width="9.75" style="1" customWidth="1"/>
    <col min="4" max="4" width="11.125" style="1" customWidth="1"/>
    <col min="5" max="5" width="6.25" style="1" customWidth="1"/>
    <col min="6" max="6" width="14" style="1" customWidth="1"/>
    <col min="7" max="7" width="7.375" style="1" customWidth="1"/>
    <col min="8" max="8" width="8.875" style="2" customWidth="1"/>
    <col min="9" max="9" width="10" style="2" customWidth="1"/>
    <col min="10" max="10" width="10" style="1" customWidth="1"/>
    <col min="11" max="11" width="7.25" style="1" customWidth="1"/>
    <col min="12" max="12" width="6.875" style="1" customWidth="1"/>
    <col min="13" max="13" width="13.125" style="1" customWidth="1"/>
    <col min="14" max="14" width="27.625" style="1" customWidth="1"/>
    <col min="15" max="15" width="12.625" style="1"/>
    <col min="16" max="16377" width="9" style="1"/>
  </cols>
  <sheetData>
    <row r="1" spans="1:15" ht="24.75">
      <c r="A1" s="3"/>
      <c r="B1" s="3"/>
      <c r="C1" s="4"/>
      <c r="D1" s="39" t="s">
        <v>0</v>
      </c>
      <c r="E1" s="40"/>
      <c r="F1" s="40"/>
      <c r="G1" s="40"/>
      <c r="H1" s="41"/>
      <c r="I1" s="41"/>
      <c r="J1" s="40"/>
      <c r="K1" s="40"/>
      <c r="L1" s="40"/>
      <c r="M1" s="40"/>
      <c r="N1" s="42"/>
    </row>
    <row r="2" spans="1:15" ht="33">
      <c r="A2" s="5"/>
      <c r="B2" s="6" t="s">
        <v>1</v>
      </c>
      <c r="C2" s="43" t="s">
        <v>2</v>
      </c>
      <c r="D2" s="44"/>
      <c r="E2" s="45" t="s">
        <v>3</v>
      </c>
      <c r="F2" s="46"/>
      <c r="G2" s="45" t="s">
        <v>4</v>
      </c>
      <c r="H2" s="47"/>
      <c r="I2" s="47" t="s">
        <v>5</v>
      </c>
      <c r="J2" s="45"/>
      <c r="K2" s="43" t="s">
        <v>6</v>
      </c>
      <c r="L2" s="44"/>
      <c r="M2" s="7" t="s">
        <v>7</v>
      </c>
      <c r="N2" s="14" t="s">
        <v>8</v>
      </c>
    </row>
    <row r="3" spans="1:15" ht="20.25">
      <c r="A3" s="11"/>
      <c r="B3" s="12"/>
      <c r="C3" s="7" t="s">
        <v>9</v>
      </c>
      <c r="D3" s="8" t="s">
        <v>10</v>
      </c>
      <c r="E3" s="8" t="s">
        <v>11</v>
      </c>
      <c r="F3" s="13" t="s">
        <v>12</v>
      </c>
      <c r="G3" s="8" t="s">
        <v>13</v>
      </c>
      <c r="H3" s="10" t="s">
        <v>14</v>
      </c>
      <c r="I3" s="10" t="s">
        <v>15</v>
      </c>
      <c r="J3" s="35" t="s">
        <v>16</v>
      </c>
      <c r="K3" s="7" t="s">
        <v>17</v>
      </c>
      <c r="L3" s="8" t="s">
        <v>18</v>
      </c>
      <c r="M3" s="8" t="s">
        <v>19</v>
      </c>
      <c r="N3" s="8" t="s">
        <v>20</v>
      </c>
    </row>
    <row r="4" spans="1:15" ht="33">
      <c r="A4" s="9"/>
      <c r="B4" s="14" t="s">
        <v>21</v>
      </c>
      <c r="C4" s="15" t="s">
        <v>22</v>
      </c>
      <c r="D4" s="16" t="s">
        <v>23</v>
      </c>
      <c r="E4" s="17">
        <v>3</v>
      </c>
      <c r="F4" s="18" t="s">
        <v>24</v>
      </c>
      <c r="G4" s="19">
        <v>570</v>
      </c>
      <c r="H4" s="20"/>
      <c r="I4" s="36">
        <v>44442</v>
      </c>
      <c r="J4" s="37">
        <v>7168</v>
      </c>
      <c r="K4" s="15">
        <v>199.8</v>
      </c>
      <c r="L4" s="16">
        <v>1.089</v>
      </c>
      <c r="M4" s="30" t="s">
        <v>37</v>
      </c>
      <c r="N4" s="16" t="s">
        <v>25</v>
      </c>
      <c r="O4" s="38"/>
    </row>
    <row r="5" spans="1:15" ht="17.25">
      <c r="A5" s="9"/>
      <c r="B5" s="14" t="s">
        <v>21</v>
      </c>
      <c r="C5" s="48" t="s">
        <v>26</v>
      </c>
      <c r="D5" s="52" t="s">
        <v>23</v>
      </c>
      <c r="E5" s="56">
        <v>2</v>
      </c>
      <c r="F5" s="18" t="s">
        <v>27</v>
      </c>
      <c r="G5" s="19">
        <v>6</v>
      </c>
      <c r="H5" s="20">
        <v>140</v>
      </c>
      <c r="I5" s="36">
        <f t="shared" ref="I5:I20" si="0">G:G*H:H</f>
        <v>840</v>
      </c>
      <c r="J5" s="37">
        <v>135</v>
      </c>
      <c r="K5" s="62">
        <v>144.5</v>
      </c>
      <c r="L5" s="63">
        <v>0.94599999999999995</v>
      </c>
      <c r="M5" s="30" t="s">
        <v>37</v>
      </c>
      <c r="N5" s="63" t="s">
        <v>28</v>
      </c>
      <c r="O5" s="38"/>
    </row>
    <row r="6" spans="1:15" ht="17.25">
      <c r="A6" s="9"/>
      <c r="B6" s="14" t="s">
        <v>21</v>
      </c>
      <c r="C6" s="49"/>
      <c r="D6" s="53"/>
      <c r="E6" s="56"/>
      <c r="F6" s="18" t="s">
        <v>27</v>
      </c>
      <c r="G6" s="19">
        <v>24</v>
      </c>
      <c r="H6" s="20">
        <v>140</v>
      </c>
      <c r="I6" s="36">
        <f t="shared" si="0"/>
        <v>3360</v>
      </c>
      <c r="J6" s="37">
        <v>542</v>
      </c>
      <c r="K6" s="62"/>
      <c r="L6" s="63"/>
      <c r="M6" s="30" t="s">
        <v>37</v>
      </c>
      <c r="N6" s="63"/>
      <c r="O6" s="38"/>
    </row>
    <row r="7" spans="1:15" ht="17.25">
      <c r="A7" s="9"/>
      <c r="B7" s="14" t="s">
        <v>21</v>
      </c>
      <c r="C7" s="49"/>
      <c r="D7" s="53"/>
      <c r="E7" s="56"/>
      <c r="F7" s="16" t="s">
        <v>27</v>
      </c>
      <c r="G7" s="21">
        <v>22</v>
      </c>
      <c r="H7" s="22">
        <v>140</v>
      </c>
      <c r="I7" s="36">
        <f t="shared" si="0"/>
        <v>3080</v>
      </c>
      <c r="J7" s="37">
        <v>497</v>
      </c>
      <c r="K7" s="62"/>
      <c r="L7" s="63"/>
      <c r="M7" s="30" t="s">
        <v>37</v>
      </c>
      <c r="N7" s="63"/>
      <c r="O7" s="38"/>
    </row>
    <row r="8" spans="1:15" ht="17.25">
      <c r="A8" s="9"/>
      <c r="B8" s="14" t="s">
        <v>21</v>
      </c>
      <c r="C8" s="49"/>
      <c r="D8" s="53"/>
      <c r="E8" s="56"/>
      <c r="F8" s="16" t="s">
        <v>27</v>
      </c>
      <c r="G8" s="19">
        <v>2</v>
      </c>
      <c r="H8" s="20">
        <v>140</v>
      </c>
      <c r="I8" s="36">
        <f t="shared" si="0"/>
        <v>280</v>
      </c>
      <c r="J8" s="37">
        <v>45</v>
      </c>
      <c r="K8" s="62"/>
      <c r="L8" s="63"/>
      <c r="M8" s="30" t="s">
        <v>37</v>
      </c>
      <c r="N8" s="63"/>
      <c r="O8" s="38"/>
    </row>
    <row r="9" spans="1:15" ht="17.25">
      <c r="A9" s="9"/>
      <c r="B9" s="14" t="s">
        <v>21</v>
      </c>
      <c r="C9" s="49"/>
      <c r="D9" s="53"/>
      <c r="E9" s="56"/>
      <c r="F9" s="16" t="s">
        <v>27</v>
      </c>
      <c r="G9" s="19">
        <v>5</v>
      </c>
      <c r="H9" s="20">
        <v>160</v>
      </c>
      <c r="I9" s="36">
        <f t="shared" si="0"/>
        <v>800</v>
      </c>
      <c r="J9" s="37">
        <v>129</v>
      </c>
      <c r="K9" s="62"/>
      <c r="L9" s="63"/>
      <c r="M9" s="30" t="s">
        <v>37</v>
      </c>
      <c r="N9" s="63"/>
      <c r="O9" s="38"/>
    </row>
    <row r="10" spans="1:15" ht="17.25">
      <c r="A10" s="9"/>
      <c r="B10" s="14" t="s">
        <v>21</v>
      </c>
      <c r="C10" s="49"/>
      <c r="D10" s="53"/>
      <c r="E10" s="56"/>
      <c r="F10" s="16" t="s">
        <v>27</v>
      </c>
      <c r="G10" s="19">
        <v>10</v>
      </c>
      <c r="H10" s="20">
        <v>200</v>
      </c>
      <c r="I10" s="36">
        <f t="shared" si="0"/>
        <v>2000</v>
      </c>
      <c r="J10" s="37">
        <v>323</v>
      </c>
      <c r="K10" s="62"/>
      <c r="L10" s="63"/>
      <c r="M10" s="30" t="s">
        <v>37</v>
      </c>
      <c r="N10" s="63"/>
      <c r="O10" s="38"/>
    </row>
    <row r="11" spans="1:15" ht="17.25">
      <c r="A11" s="9"/>
      <c r="B11" s="14" t="s">
        <v>21</v>
      </c>
      <c r="C11" s="49"/>
      <c r="D11" s="53"/>
      <c r="E11" s="56"/>
      <c r="F11" s="16" t="s">
        <v>27</v>
      </c>
      <c r="G11" s="19">
        <v>10</v>
      </c>
      <c r="H11" s="20">
        <v>200</v>
      </c>
      <c r="I11" s="36">
        <f t="shared" si="0"/>
        <v>2000</v>
      </c>
      <c r="J11" s="37">
        <v>323</v>
      </c>
      <c r="K11" s="62"/>
      <c r="L11" s="63"/>
      <c r="M11" s="30" t="s">
        <v>37</v>
      </c>
      <c r="N11" s="63"/>
      <c r="O11" s="38"/>
    </row>
    <row r="12" spans="1:15" ht="17.25">
      <c r="A12" s="9"/>
      <c r="B12" s="14" t="s">
        <v>21</v>
      </c>
      <c r="C12" s="49"/>
      <c r="D12" s="53"/>
      <c r="E12" s="56"/>
      <c r="F12" s="16" t="s">
        <v>29</v>
      </c>
      <c r="G12" s="19">
        <v>30</v>
      </c>
      <c r="H12" s="20">
        <v>65</v>
      </c>
      <c r="I12" s="36">
        <f t="shared" si="0"/>
        <v>1950</v>
      </c>
      <c r="J12" s="37">
        <v>315</v>
      </c>
      <c r="K12" s="62"/>
      <c r="L12" s="63"/>
      <c r="M12" s="30" t="s">
        <v>37</v>
      </c>
      <c r="N12" s="63"/>
      <c r="O12" s="38"/>
    </row>
    <row r="13" spans="1:15" ht="17.25">
      <c r="A13" s="9"/>
      <c r="B13" s="14" t="s">
        <v>21</v>
      </c>
      <c r="C13" s="49"/>
      <c r="D13" s="53"/>
      <c r="E13" s="56"/>
      <c r="F13" s="16" t="s">
        <v>29</v>
      </c>
      <c r="G13" s="19">
        <v>25</v>
      </c>
      <c r="H13" s="20">
        <v>80</v>
      </c>
      <c r="I13" s="36">
        <f t="shared" si="0"/>
        <v>2000</v>
      </c>
      <c r="J13" s="37">
        <v>323</v>
      </c>
      <c r="K13" s="62"/>
      <c r="L13" s="63"/>
      <c r="M13" s="30" t="s">
        <v>37</v>
      </c>
      <c r="N13" s="63"/>
      <c r="O13" s="38"/>
    </row>
    <row r="14" spans="1:15" ht="17.25">
      <c r="A14" s="9"/>
      <c r="B14" s="14" t="s">
        <v>21</v>
      </c>
      <c r="C14" s="49"/>
      <c r="D14" s="53"/>
      <c r="E14" s="56"/>
      <c r="F14" s="16" t="s">
        <v>27</v>
      </c>
      <c r="G14" s="19">
        <v>10</v>
      </c>
      <c r="H14" s="20">
        <v>120</v>
      </c>
      <c r="I14" s="36">
        <f t="shared" si="0"/>
        <v>1200</v>
      </c>
      <c r="J14" s="37">
        <v>194</v>
      </c>
      <c r="K14" s="62"/>
      <c r="L14" s="63"/>
      <c r="M14" s="30" t="s">
        <v>37</v>
      </c>
      <c r="N14" s="63"/>
      <c r="O14" s="38"/>
    </row>
    <row r="15" spans="1:15" ht="17.25">
      <c r="A15" s="9"/>
      <c r="B15" s="14" t="s">
        <v>21</v>
      </c>
      <c r="C15" s="49"/>
      <c r="D15" s="53"/>
      <c r="E15" s="56"/>
      <c r="F15" s="16" t="s">
        <v>27</v>
      </c>
      <c r="G15" s="19">
        <v>10</v>
      </c>
      <c r="H15" s="20">
        <v>120</v>
      </c>
      <c r="I15" s="36">
        <f t="shared" si="0"/>
        <v>1200</v>
      </c>
      <c r="J15" s="37">
        <v>194</v>
      </c>
      <c r="K15" s="62"/>
      <c r="L15" s="63"/>
      <c r="M15" s="30" t="s">
        <v>37</v>
      </c>
      <c r="N15" s="63"/>
      <c r="O15" s="38"/>
    </row>
    <row r="16" spans="1:15" ht="17.25">
      <c r="A16" s="9"/>
      <c r="B16" s="14" t="s">
        <v>21</v>
      </c>
      <c r="C16" s="49"/>
      <c r="D16" s="53"/>
      <c r="E16" s="56"/>
      <c r="F16" s="16" t="s">
        <v>27</v>
      </c>
      <c r="G16" s="19">
        <v>5</v>
      </c>
      <c r="H16" s="20">
        <v>140</v>
      </c>
      <c r="I16" s="36">
        <f t="shared" si="0"/>
        <v>700</v>
      </c>
      <c r="J16" s="37">
        <v>113</v>
      </c>
      <c r="K16" s="62"/>
      <c r="L16" s="63"/>
      <c r="M16" s="30" t="s">
        <v>37</v>
      </c>
      <c r="N16" s="63"/>
      <c r="O16" s="38"/>
    </row>
    <row r="17" spans="1:15" ht="17.25">
      <c r="A17" s="9"/>
      <c r="B17" s="14" t="s">
        <v>21</v>
      </c>
      <c r="C17" s="49"/>
      <c r="D17" s="53"/>
      <c r="E17" s="56"/>
      <c r="F17" s="16" t="s">
        <v>30</v>
      </c>
      <c r="G17" s="19">
        <v>10</v>
      </c>
      <c r="H17" s="20">
        <v>65</v>
      </c>
      <c r="I17" s="36">
        <f t="shared" si="0"/>
        <v>650</v>
      </c>
      <c r="J17" s="37">
        <v>105</v>
      </c>
      <c r="K17" s="62"/>
      <c r="L17" s="63"/>
      <c r="M17" s="30" t="s">
        <v>37</v>
      </c>
      <c r="N17" s="63"/>
      <c r="O17" s="38"/>
    </row>
    <row r="18" spans="1:15" ht="17.25">
      <c r="A18" s="9"/>
      <c r="B18" s="14" t="s">
        <v>21</v>
      </c>
      <c r="C18" s="50"/>
      <c r="D18" s="54"/>
      <c r="E18" s="56"/>
      <c r="F18" s="16" t="s">
        <v>30</v>
      </c>
      <c r="G18" s="19">
        <v>5</v>
      </c>
      <c r="H18" s="20">
        <v>80</v>
      </c>
      <c r="I18" s="36">
        <f t="shared" si="0"/>
        <v>400</v>
      </c>
      <c r="J18" s="37">
        <v>65</v>
      </c>
      <c r="K18" s="62"/>
      <c r="L18" s="63"/>
      <c r="M18" s="30" t="s">
        <v>37</v>
      </c>
      <c r="N18" s="63"/>
      <c r="O18" s="38"/>
    </row>
    <row r="19" spans="1:15" ht="17.25">
      <c r="A19" s="23"/>
      <c r="B19" s="14" t="s">
        <v>21</v>
      </c>
      <c r="C19" s="24" t="s">
        <v>31</v>
      </c>
      <c r="D19" s="25" t="s">
        <v>23</v>
      </c>
      <c r="E19" s="26">
        <v>1</v>
      </c>
      <c r="F19" s="25" t="s">
        <v>32</v>
      </c>
      <c r="G19" s="27">
        <v>40</v>
      </c>
      <c r="H19" s="28">
        <v>400</v>
      </c>
      <c r="I19" s="36">
        <f t="shared" si="0"/>
        <v>16000</v>
      </c>
      <c r="J19" s="37">
        <v>2581</v>
      </c>
      <c r="K19" s="24">
        <v>63</v>
      </c>
      <c r="L19" s="25">
        <v>0.34799999999999998</v>
      </c>
      <c r="M19" s="25" t="s">
        <v>33</v>
      </c>
      <c r="N19" s="30"/>
      <c r="O19" s="38"/>
    </row>
    <row r="20" spans="1:15" ht="17.25">
      <c r="A20" s="23"/>
      <c r="B20" s="14" t="s">
        <v>21</v>
      </c>
      <c r="C20" s="29" t="s">
        <v>34</v>
      </c>
      <c r="D20" s="30" t="s">
        <v>35</v>
      </c>
      <c r="E20" s="31">
        <v>1</v>
      </c>
      <c r="F20" s="30" t="s">
        <v>36</v>
      </c>
      <c r="G20" s="32">
        <v>8</v>
      </c>
      <c r="H20" s="33">
        <v>435</v>
      </c>
      <c r="I20" s="36">
        <f t="shared" si="0"/>
        <v>3480</v>
      </c>
      <c r="J20" s="37">
        <v>561</v>
      </c>
      <c r="K20" s="29">
        <v>15.5</v>
      </c>
      <c r="L20" s="30">
        <v>0.106</v>
      </c>
      <c r="M20" s="30" t="s">
        <v>37</v>
      </c>
      <c r="N20" s="30"/>
      <c r="O20" s="38"/>
    </row>
    <row r="21" spans="1:15" ht="17.25">
      <c r="A21" s="23"/>
      <c r="B21" s="14" t="s">
        <v>21</v>
      </c>
      <c r="C21" s="51" t="s">
        <v>38</v>
      </c>
      <c r="D21" s="55" t="s">
        <v>39</v>
      </c>
      <c r="E21" s="57">
        <v>1</v>
      </c>
      <c r="F21" s="30" t="s">
        <v>40</v>
      </c>
      <c r="G21" s="32">
        <v>10</v>
      </c>
      <c r="H21" s="34"/>
      <c r="I21" s="58">
        <v>7850</v>
      </c>
      <c r="J21" s="60">
        <v>1266</v>
      </c>
      <c r="K21" s="51">
        <v>41</v>
      </c>
      <c r="L21" s="55">
        <v>0.32</v>
      </c>
      <c r="M21" s="30" t="s">
        <v>41</v>
      </c>
      <c r="N21" s="55"/>
      <c r="O21" s="38"/>
    </row>
    <row r="22" spans="1:15" ht="17.25">
      <c r="A22" s="23"/>
      <c r="B22" s="14" t="s">
        <v>21</v>
      </c>
      <c r="C22" s="51"/>
      <c r="D22" s="55"/>
      <c r="E22" s="57"/>
      <c r="F22" s="30" t="s">
        <v>40</v>
      </c>
      <c r="G22" s="32">
        <v>20</v>
      </c>
      <c r="H22" s="34"/>
      <c r="I22" s="59"/>
      <c r="J22" s="61"/>
      <c r="K22" s="51"/>
      <c r="L22" s="55"/>
      <c r="M22" s="30" t="s">
        <v>41</v>
      </c>
      <c r="N22" s="55"/>
      <c r="O22" s="38"/>
    </row>
    <row r="23" spans="1:15" ht="17.25">
      <c r="A23" s="23"/>
      <c r="B23" s="14" t="s">
        <v>21</v>
      </c>
      <c r="C23" s="51" t="s">
        <v>42</v>
      </c>
      <c r="D23" s="55" t="s">
        <v>23</v>
      </c>
      <c r="E23" s="57">
        <v>1</v>
      </c>
      <c r="F23" s="30" t="s">
        <v>43</v>
      </c>
      <c r="G23" s="32">
        <v>6</v>
      </c>
      <c r="H23" s="33">
        <v>100</v>
      </c>
      <c r="I23" s="36">
        <f t="shared" ref="I23:I28" si="1">G:G*H:H</f>
        <v>600</v>
      </c>
      <c r="J23" s="37">
        <v>97</v>
      </c>
      <c r="K23" s="51">
        <v>62.5</v>
      </c>
      <c r="L23" s="55">
        <v>0.53500000000000003</v>
      </c>
      <c r="M23" s="30" t="s">
        <v>44</v>
      </c>
      <c r="N23" s="55"/>
      <c r="O23" s="38"/>
    </row>
    <row r="24" spans="1:15" ht="17.25">
      <c r="A24" s="23"/>
      <c r="B24" s="14" t="s">
        <v>21</v>
      </c>
      <c r="C24" s="51"/>
      <c r="D24" s="55"/>
      <c r="E24" s="57"/>
      <c r="F24" s="30" t="s">
        <v>45</v>
      </c>
      <c r="G24" s="32">
        <v>6</v>
      </c>
      <c r="H24" s="33">
        <v>100</v>
      </c>
      <c r="I24" s="36">
        <f t="shared" si="1"/>
        <v>600</v>
      </c>
      <c r="J24" s="37">
        <v>97</v>
      </c>
      <c r="K24" s="51"/>
      <c r="L24" s="55"/>
      <c r="M24" s="30" t="s">
        <v>44</v>
      </c>
      <c r="N24" s="55"/>
      <c r="O24" s="38"/>
    </row>
    <row r="25" spans="1:15" ht="17.25">
      <c r="A25" s="23"/>
      <c r="B25" s="14" t="s">
        <v>21</v>
      </c>
      <c r="C25" s="51" t="s">
        <v>46</v>
      </c>
      <c r="D25" s="55" t="s">
        <v>23</v>
      </c>
      <c r="E25" s="57"/>
      <c r="F25" s="30" t="s">
        <v>47</v>
      </c>
      <c r="G25" s="32">
        <v>36</v>
      </c>
      <c r="H25" s="33">
        <v>30</v>
      </c>
      <c r="I25" s="36">
        <f t="shared" si="1"/>
        <v>1080</v>
      </c>
      <c r="J25" s="37">
        <v>174</v>
      </c>
      <c r="K25" s="51"/>
      <c r="L25" s="55"/>
      <c r="M25" s="30" t="s">
        <v>48</v>
      </c>
      <c r="N25" s="55"/>
      <c r="O25" s="38"/>
    </row>
    <row r="26" spans="1:15" ht="17.25">
      <c r="A26" s="23"/>
      <c r="B26" s="14" t="s">
        <v>21</v>
      </c>
      <c r="C26" s="51"/>
      <c r="D26" s="55"/>
      <c r="E26" s="57"/>
      <c r="F26" s="30" t="s">
        <v>49</v>
      </c>
      <c r="G26" s="32">
        <v>12</v>
      </c>
      <c r="H26" s="33">
        <v>30</v>
      </c>
      <c r="I26" s="36">
        <f t="shared" si="1"/>
        <v>360</v>
      </c>
      <c r="J26" s="37">
        <v>58</v>
      </c>
      <c r="K26" s="51"/>
      <c r="L26" s="55"/>
      <c r="M26" s="30" t="s">
        <v>48</v>
      </c>
      <c r="N26" s="55"/>
      <c r="O26" s="38"/>
    </row>
    <row r="27" spans="1:15" ht="17.25">
      <c r="A27" s="23"/>
      <c r="B27" s="14" t="s">
        <v>21</v>
      </c>
      <c r="C27" s="51"/>
      <c r="D27" s="55"/>
      <c r="E27" s="57"/>
      <c r="F27" s="30" t="s">
        <v>49</v>
      </c>
      <c r="G27" s="32">
        <v>18</v>
      </c>
      <c r="H27" s="33">
        <v>30</v>
      </c>
      <c r="I27" s="36">
        <f t="shared" si="1"/>
        <v>540</v>
      </c>
      <c r="J27" s="37">
        <v>87</v>
      </c>
      <c r="K27" s="51"/>
      <c r="L27" s="55"/>
      <c r="M27" s="30" t="s">
        <v>48</v>
      </c>
      <c r="N27" s="55"/>
      <c r="O27" s="38"/>
    </row>
    <row r="28" spans="1:15" ht="17.25">
      <c r="A28" s="23"/>
      <c r="B28" s="14" t="s">
        <v>21</v>
      </c>
      <c r="C28" s="29" t="s">
        <v>50</v>
      </c>
      <c r="D28" s="30" t="s">
        <v>23</v>
      </c>
      <c r="E28" s="57"/>
      <c r="F28" s="30" t="s">
        <v>51</v>
      </c>
      <c r="G28" s="32">
        <v>20</v>
      </c>
      <c r="H28" s="33">
        <v>200</v>
      </c>
      <c r="I28" s="36">
        <f t="shared" si="1"/>
        <v>4000</v>
      </c>
      <c r="J28" s="37">
        <v>645</v>
      </c>
      <c r="K28" s="51"/>
      <c r="L28" s="55"/>
      <c r="M28" s="30" t="s">
        <v>48</v>
      </c>
      <c r="N28" s="55"/>
      <c r="O28" s="38"/>
    </row>
  </sheetData>
  <mergeCells count="28">
    <mergeCell ref="N5:N18"/>
    <mergeCell ref="N21:N22"/>
    <mergeCell ref="N23:N28"/>
    <mergeCell ref="K5:K18"/>
    <mergeCell ref="K21:K22"/>
    <mergeCell ref="K23:K28"/>
    <mergeCell ref="L5:L18"/>
    <mergeCell ref="L21:L22"/>
    <mergeCell ref="L23:L28"/>
    <mergeCell ref="E5:E18"/>
    <mergeCell ref="E21:E22"/>
    <mergeCell ref="E23:E28"/>
    <mergeCell ref="I21:I22"/>
    <mergeCell ref="J21:J22"/>
    <mergeCell ref="C5:C18"/>
    <mergeCell ref="C21:C22"/>
    <mergeCell ref="C23:C24"/>
    <mergeCell ref="C25:C27"/>
    <mergeCell ref="D5:D18"/>
    <mergeCell ref="D21:D22"/>
    <mergeCell ref="D23:D24"/>
    <mergeCell ref="D25:D27"/>
    <mergeCell ref="D1:N1"/>
    <mergeCell ref="C2:D2"/>
    <mergeCell ref="E2:F2"/>
    <mergeCell ref="G2:H2"/>
    <mergeCell ref="I2:J2"/>
    <mergeCell ref="K2:L2"/>
  </mergeCells>
  <phoneticPr fontId="11" type="noConversion"/>
  <printOptions verticalCentered="1"/>
  <pageMargins left="0.118055555555556" right="0.118055555555556" top="0.118055555555556" bottom="0.118055555555556" header="0.3" footer="0.3"/>
  <pageSetup paperSize="9" scale="8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京258库快陆（慢飞）-第74单-2015-10-11-9包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username</dc:creator>
  <cp:lastModifiedBy>微软用户</cp:lastModifiedBy>
  <dcterms:created xsi:type="dcterms:W3CDTF">2011-12-31T06:39:00Z</dcterms:created>
  <dcterms:modified xsi:type="dcterms:W3CDTF">2015-10-11T15:46:24Z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2052-9.1.0.5218</vt:lpwstr>
  </property>
</Properties>
</file>