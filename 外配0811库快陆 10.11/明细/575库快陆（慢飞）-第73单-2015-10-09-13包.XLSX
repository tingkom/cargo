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3910" windowHeight="10500"/>
  </bookViews>
  <sheets>
    <sheet name="京258库快陆（慢飞）-第73单-2015-10-09-13包" sheetId="1" r:id="rId1"/>
  </sheets>
  <calcPr calcId="125725"/>
</workbook>
</file>

<file path=xl/calcChain.xml><?xml version="1.0" encoding="utf-8"?>
<calcChain xmlns="http://schemas.openxmlformats.org/spreadsheetml/2006/main">
  <c r="P18" i="1"/>
  <c r="S18"/>
  <c r="R18"/>
  <c r="Q18"/>
  <c r="S14"/>
  <c r="R14"/>
  <c r="Q14"/>
  <c r="P14"/>
  <c r="S10"/>
  <c r="R10"/>
  <c r="Q10"/>
  <c r="P10"/>
  <c r="S6"/>
  <c r="R6"/>
  <c r="Q6"/>
  <c r="P6"/>
  <c r="S4"/>
  <c r="R4"/>
  <c r="Q4"/>
  <c r="P4"/>
  <c r="I22"/>
  <c r="I21"/>
  <c r="I20"/>
  <c r="I19"/>
  <c r="I18"/>
  <c r="I13"/>
  <c r="I12"/>
  <c r="I11"/>
  <c r="I10"/>
  <c r="I9"/>
  <c r="I8"/>
  <c r="I7"/>
  <c r="I6"/>
  <c r="I5"/>
  <c r="I4"/>
</calcChain>
</file>

<file path=xl/sharedStrings.xml><?xml version="1.0" encoding="utf-8"?>
<sst xmlns="http://schemas.openxmlformats.org/spreadsheetml/2006/main" count="104" uniqueCount="49">
  <si>
    <t>京258库快陆（慢飞）-第73单-2015-10-09-13包</t>
  </si>
  <si>
    <t>城市</t>
  </si>
  <si>
    <t>出库单位：258库快陆（慢飞）</t>
  </si>
  <si>
    <t>日期：2015-10-09</t>
  </si>
  <si>
    <t>总包数：13</t>
  </si>
  <si>
    <t>200210￥=32293$</t>
  </si>
  <si>
    <t>总数量：427</t>
  </si>
  <si>
    <t>总重量：816.5</t>
  </si>
  <si>
    <t>总体积：4.816</t>
  </si>
  <si>
    <t>货主</t>
  </si>
  <si>
    <t>入库日期</t>
  </si>
  <si>
    <t>包数</t>
  </si>
  <si>
    <t>品名</t>
  </si>
  <si>
    <t>件数</t>
  </si>
  <si>
    <t>单价</t>
  </si>
  <si>
    <t>总货值</t>
  </si>
  <si>
    <t>总货值$</t>
  </si>
  <si>
    <t>公斤数</t>
  </si>
  <si>
    <t>立方数</t>
  </si>
  <si>
    <t>品牌</t>
  </si>
  <si>
    <t>备注</t>
  </si>
  <si>
    <t>莫斯科</t>
  </si>
  <si>
    <t>MS0134</t>
  </si>
  <si>
    <t>2015-10-09</t>
  </si>
  <si>
    <t>男革包</t>
  </si>
  <si>
    <t>BOLINNI</t>
  </si>
  <si>
    <t>1）68kg-103件 2）75.5kg-67个</t>
  </si>
  <si>
    <t>MS12211</t>
  </si>
  <si>
    <t>男棉服</t>
  </si>
  <si>
    <t>CITYCLASS</t>
  </si>
  <si>
    <t>1）67.5kg-43件 2）61kg-41件</t>
  </si>
  <si>
    <t>ML6130</t>
  </si>
  <si>
    <t>女棉服</t>
  </si>
  <si>
    <t>DASER</t>
  </si>
  <si>
    <t>1）65kg-40件 2）79kg-39件 3）52.5kg-30件 4）52.5kg-30件</t>
  </si>
  <si>
    <t>HAILUOZI</t>
  </si>
  <si>
    <t>ML12206</t>
  </si>
  <si>
    <t>童装</t>
  </si>
  <si>
    <t>无件数</t>
  </si>
  <si>
    <t>BR</t>
  </si>
  <si>
    <t>1）59.5kg 2）70kg 3）66kg 4）40.5kg</t>
  </si>
  <si>
    <t>男棉服42.5kg</t>
  </si>
  <si>
    <t>SHAARK FORCE</t>
  </si>
  <si>
    <t>ML12496</t>
  </si>
  <si>
    <t>女棉服16kg</t>
  </si>
  <si>
    <t>海罗资</t>
  </si>
  <si>
    <t>无件数</t>
    <phoneticPr fontId="11" type="noConversion"/>
  </si>
  <si>
    <t>男棉服</t>
    <phoneticPr fontId="11" type="noConversion"/>
  </si>
  <si>
    <t>男棉服/女棉服</t>
    <phoneticPr fontId="11" type="noConversion"/>
  </si>
</sst>
</file>

<file path=xl/styles.xml><?xml version="1.0" encoding="utf-8"?>
<styleSheet xmlns="http://schemas.openxmlformats.org/spreadsheetml/2006/main">
  <numFmts count="2">
    <numFmt numFmtId="176" formatCode="&quot;￥&quot;#,##0;[Red]&quot;￥&quot;#,##0"/>
    <numFmt numFmtId="179" formatCode="0;[Red]0"/>
  </numFmts>
  <fonts count="12"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6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6" fontId="9" fillId="0" borderId="17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176" fontId="9" fillId="0" borderId="16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13" xfId="0" applyNumberFormat="1" applyFont="1" applyBorder="1" applyAlignment="1">
      <alignment horizontal="center" vertical="center" wrapText="1"/>
    </xf>
    <xf numFmtId="1" fontId="9" fillId="0" borderId="16" xfId="0" applyNumberFormat="1" applyFont="1" applyBorder="1" applyAlignment="1">
      <alignment horizontal="center" vertical="center" wrapText="1"/>
    </xf>
    <xf numFmtId="176" fontId="9" fillId="0" borderId="20" xfId="0" applyNumberFormat="1" applyFont="1" applyBorder="1" applyAlignment="1">
      <alignment horizontal="center" vertical="center" wrapText="1"/>
    </xf>
    <xf numFmtId="176" fontId="9" fillId="0" borderId="21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6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EX22"/>
  <sheetViews>
    <sheetView tabSelected="1" workbookViewId="0">
      <selection activeCell="P4" sqref="P4:V18"/>
    </sheetView>
  </sheetViews>
  <sheetFormatPr defaultColWidth="9" defaultRowHeight="13.5"/>
  <cols>
    <col min="1" max="1" width="0.25" style="1" customWidth="1"/>
    <col min="2" max="2" width="10.625" style="1" customWidth="1"/>
    <col min="3" max="3" width="9.75" style="1" customWidth="1"/>
    <col min="4" max="4" width="11.125" style="1" customWidth="1"/>
    <col min="5" max="5" width="6.25" style="1" customWidth="1"/>
    <col min="6" max="6" width="11.5" style="1" customWidth="1"/>
    <col min="7" max="7" width="7.375" style="1" customWidth="1"/>
    <col min="8" max="8" width="8.875" style="2" customWidth="1"/>
    <col min="9" max="9" width="10" style="2" customWidth="1"/>
    <col min="10" max="10" width="10" style="1" customWidth="1"/>
    <col min="11" max="11" width="7.25" style="1" customWidth="1"/>
    <col min="12" max="12" width="6.875" style="1" customWidth="1"/>
    <col min="13" max="13" width="13.125" style="1" customWidth="1"/>
    <col min="14" max="14" width="0.875" style="1" customWidth="1"/>
    <col min="15" max="15" width="12.625" style="1"/>
    <col min="16" max="16378" width="9" style="1"/>
  </cols>
  <sheetData>
    <row r="1" spans="1:22" ht="26.25" customHeight="1">
      <c r="A1" s="3"/>
      <c r="B1" s="3"/>
      <c r="C1" s="4"/>
      <c r="D1" s="35" t="s">
        <v>0</v>
      </c>
      <c r="E1" s="36"/>
      <c r="F1" s="36"/>
      <c r="G1" s="36"/>
      <c r="H1" s="37"/>
      <c r="I1" s="37"/>
      <c r="J1" s="36"/>
      <c r="K1" s="36"/>
      <c r="L1" s="36"/>
      <c r="M1" s="36"/>
      <c r="N1" s="38"/>
    </row>
    <row r="2" spans="1:22" ht="26.25" customHeight="1">
      <c r="A2" s="5"/>
      <c r="B2" s="6" t="s">
        <v>1</v>
      </c>
      <c r="C2" s="39" t="s">
        <v>2</v>
      </c>
      <c r="D2" s="40"/>
      <c r="E2" s="41" t="s">
        <v>3</v>
      </c>
      <c r="F2" s="42"/>
      <c r="G2" s="41" t="s">
        <v>4</v>
      </c>
      <c r="H2" s="41"/>
      <c r="I2" s="43" t="s">
        <v>5</v>
      </c>
      <c r="J2" s="43"/>
      <c r="K2" s="39" t="s">
        <v>6</v>
      </c>
      <c r="L2" s="40"/>
      <c r="M2" s="7" t="s">
        <v>7</v>
      </c>
      <c r="N2" s="14" t="s">
        <v>8</v>
      </c>
    </row>
    <row r="3" spans="1:22" ht="20.25" customHeight="1">
      <c r="A3" s="10"/>
      <c r="B3" s="11"/>
      <c r="C3" s="7" t="s">
        <v>9</v>
      </c>
      <c r="D3" s="8" t="s">
        <v>10</v>
      </c>
      <c r="E3" s="8" t="s">
        <v>11</v>
      </c>
      <c r="F3" s="12" t="s">
        <v>12</v>
      </c>
      <c r="G3" s="8" t="s">
        <v>13</v>
      </c>
      <c r="H3" s="13" t="s">
        <v>14</v>
      </c>
      <c r="I3" s="13" t="s">
        <v>15</v>
      </c>
      <c r="J3" s="8" t="s">
        <v>16</v>
      </c>
      <c r="K3" s="7" t="s">
        <v>17</v>
      </c>
      <c r="L3" s="8" t="s">
        <v>18</v>
      </c>
      <c r="M3" s="8" t="s">
        <v>19</v>
      </c>
      <c r="N3" s="8" t="s">
        <v>20</v>
      </c>
    </row>
    <row r="4" spans="1:22" ht="18" customHeight="1">
      <c r="A4" s="9"/>
      <c r="B4" s="14" t="s">
        <v>21</v>
      </c>
      <c r="C4" s="44" t="s">
        <v>22</v>
      </c>
      <c r="D4" s="50" t="s">
        <v>23</v>
      </c>
      <c r="E4" s="56">
        <v>2</v>
      </c>
      <c r="F4" s="16" t="s">
        <v>24</v>
      </c>
      <c r="G4" s="17">
        <v>103</v>
      </c>
      <c r="H4" s="18">
        <v>91</v>
      </c>
      <c r="I4" s="18">
        <f t="shared" ref="I4:I13" si="0">G:G*H:H</f>
        <v>9373</v>
      </c>
      <c r="J4" s="30">
        <v>1512</v>
      </c>
      <c r="K4" s="44">
        <v>143.5</v>
      </c>
      <c r="L4" s="50">
        <v>0.66600000000000004</v>
      </c>
      <c r="M4" s="15" t="s">
        <v>25</v>
      </c>
      <c r="N4" s="50" t="s">
        <v>26</v>
      </c>
      <c r="O4" s="31"/>
      <c r="P4" s="1" t="str">
        <f>C4&amp;"-1009-"&amp;E4</f>
        <v>MS0134-1009-2</v>
      </c>
      <c r="Q4" s="64">
        <f>E4</f>
        <v>2</v>
      </c>
      <c r="R4" s="1">
        <f>K4</f>
        <v>143.5</v>
      </c>
      <c r="S4" s="1">
        <f>L4</f>
        <v>0.66600000000000004</v>
      </c>
      <c r="T4" s="16" t="s">
        <v>24</v>
      </c>
      <c r="U4" s="1">
        <v>170</v>
      </c>
      <c r="V4" s="1">
        <v>2495</v>
      </c>
    </row>
    <row r="5" spans="1:22" ht="18" customHeight="1">
      <c r="A5" s="9"/>
      <c r="B5" s="14" t="s">
        <v>21</v>
      </c>
      <c r="C5" s="44"/>
      <c r="D5" s="50"/>
      <c r="E5" s="56"/>
      <c r="F5" s="16" t="s">
        <v>24</v>
      </c>
      <c r="G5" s="17">
        <v>67</v>
      </c>
      <c r="H5" s="18">
        <v>91</v>
      </c>
      <c r="I5" s="18">
        <f t="shared" si="0"/>
        <v>6097</v>
      </c>
      <c r="J5" s="30">
        <v>983</v>
      </c>
      <c r="K5" s="44"/>
      <c r="L5" s="50"/>
      <c r="M5" s="15" t="s">
        <v>25</v>
      </c>
      <c r="N5" s="50"/>
      <c r="O5" s="31"/>
    </row>
    <row r="6" spans="1:22" ht="18" customHeight="1">
      <c r="A6" s="9"/>
      <c r="B6" s="14" t="s">
        <v>21</v>
      </c>
      <c r="C6" s="44" t="s">
        <v>27</v>
      </c>
      <c r="D6" s="50" t="s">
        <v>23</v>
      </c>
      <c r="E6" s="56">
        <v>2</v>
      </c>
      <c r="F6" s="16" t="s">
        <v>28</v>
      </c>
      <c r="G6" s="17">
        <v>19</v>
      </c>
      <c r="H6" s="18">
        <v>560</v>
      </c>
      <c r="I6" s="18">
        <f t="shared" si="0"/>
        <v>10640</v>
      </c>
      <c r="J6" s="30">
        <v>1716</v>
      </c>
      <c r="K6" s="44">
        <v>128.5</v>
      </c>
      <c r="L6" s="50">
        <v>0.83499999999999996</v>
      </c>
      <c r="M6" s="15" t="s">
        <v>29</v>
      </c>
      <c r="N6" s="50" t="s">
        <v>30</v>
      </c>
      <c r="O6" s="31"/>
      <c r="P6" s="1" t="str">
        <f>C6&amp;"-1009-"&amp;E6</f>
        <v>MS12211-1009-2</v>
      </c>
      <c r="Q6" s="64">
        <f>E6</f>
        <v>2</v>
      </c>
      <c r="R6" s="1">
        <f>K6</f>
        <v>128.5</v>
      </c>
      <c r="S6" s="1">
        <f>L6</f>
        <v>0.83499999999999996</v>
      </c>
      <c r="T6" s="16" t="s">
        <v>28</v>
      </c>
      <c r="U6" s="1">
        <v>84</v>
      </c>
      <c r="V6" s="1">
        <v>7587</v>
      </c>
    </row>
    <row r="7" spans="1:22" ht="18" customHeight="1">
      <c r="A7" s="9"/>
      <c r="B7" s="14" t="s">
        <v>21</v>
      </c>
      <c r="C7" s="44"/>
      <c r="D7" s="50"/>
      <c r="E7" s="56"/>
      <c r="F7" s="16" t="s">
        <v>28</v>
      </c>
      <c r="G7" s="17">
        <v>19</v>
      </c>
      <c r="H7" s="18">
        <v>560</v>
      </c>
      <c r="I7" s="18">
        <f t="shared" si="0"/>
        <v>10640</v>
      </c>
      <c r="J7" s="30">
        <v>1716</v>
      </c>
      <c r="K7" s="44"/>
      <c r="L7" s="50"/>
      <c r="M7" s="15" t="s">
        <v>29</v>
      </c>
      <c r="N7" s="50"/>
      <c r="O7" s="31"/>
    </row>
    <row r="8" spans="1:22" ht="18" customHeight="1">
      <c r="A8" s="9"/>
      <c r="B8" s="14" t="s">
        <v>21</v>
      </c>
      <c r="C8" s="44"/>
      <c r="D8" s="50"/>
      <c r="E8" s="56"/>
      <c r="F8" s="15" t="s">
        <v>28</v>
      </c>
      <c r="G8" s="19">
        <v>24</v>
      </c>
      <c r="H8" s="20">
        <v>560</v>
      </c>
      <c r="I8" s="32">
        <f t="shared" si="0"/>
        <v>13440</v>
      </c>
      <c r="J8" s="33">
        <v>2168</v>
      </c>
      <c r="K8" s="44"/>
      <c r="L8" s="50"/>
      <c r="M8" s="15" t="s">
        <v>29</v>
      </c>
      <c r="N8" s="50"/>
      <c r="O8" s="31"/>
    </row>
    <row r="9" spans="1:22" ht="18" customHeight="1">
      <c r="A9" s="9"/>
      <c r="B9" s="14" t="s">
        <v>21</v>
      </c>
      <c r="C9" s="44"/>
      <c r="D9" s="50"/>
      <c r="E9" s="56"/>
      <c r="F9" s="15" t="s">
        <v>28</v>
      </c>
      <c r="G9" s="17">
        <v>22</v>
      </c>
      <c r="H9" s="18">
        <v>560</v>
      </c>
      <c r="I9" s="34">
        <f t="shared" si="0"/>
        <v>12320</v>
      </c>
      <c r="J9" s="30">
        <v>1987</v>
      </c>
      <c r="K9" s="44"/>
      <c r="L9" s="50"/>
      <c r="M9" s="15" t="s">
        <v>29</v>
      </c>
      <c r="N9" s="50"/>
      <c r="O9" s="31"/>
    </row>
    <row r="10" spans="1:22" ht="18" customHeight="1">
      <c r="A10" s="9"/>
      <c r="B10" s="14" t="s">
        <v>21</v>
      </c>
      <c r="C10" s="45" t="s">
        <v>31</v>
      </c>
      <c r="D10" s="51" t="s">
        <v>23</v>
      </c>
      <c r="E10" s="56">
        <v>4</v>
      </c>
      <c r="F10" s="15" t="s">
        <v>32</v>
      </c>
      <c r="G10" s="17">
        <v>69</v>
      </c>
      <c r="H10" s="18">
        <v>620</v>
      </c>
      <c r="I10" s="34">
        <f t="shared" si="0"/>
        <v>42780</v>
      </c>
      <c r="J10" s="30">
        <v>6900</v>
      </c>
      <c r="K10" s="44">
        <v>249</v>
      </c>
      <c r="L10" s="50">
        <v>1.7</v>
      </c>
      <c r="M10" s="15" t="s">
        <v>33</v>
      </c>
      <c r="N10" s="50" t="s">
        <v>34</v>
      </c>
      <c r="O10" s="31"/>
      <c r="P10" s="1" t="str">
        <f>C10&amp;"-1009-"&amp;E10</f>
        <v>ML6130-1009-4</v>
      </c>
      <c r="Q10" s="64">
        <f>E10</f>
        <v>4</v>
      </c>
      <c r="R10" s="1">
        <f>K10</f>
        <v>249</v>
      </c>
      <c r="S10" s="1">
        <f>L10</f>
        <v>1.7</v>
      </c>
      <c r="T10" s="15" t="s">
        <v>32</v>
      </c>
      <c r="U10" s="1">
        <v>139</v>
      </c>
      <c r="V10" s="1">
        <v>11828</v>
      </c>
    </row>
    <row r="11" spans="1:22" ht="18" customHeight="1">
      <c r="A11" s="9"/>
      <c r="B11" s="14" t="s">
        <v>21</v>
      </c>
      <c r="C11" s="46"/>
      <c r="D11" s="52"/>
      <c r="E11" s="56"/>
      <c r="F11" s="15" t="s">
        <v>32</v>
      </c>
      <c r="G11" s="17">
        <v>30</v>
      </c>
      <c r="H11" s="18">
        <v>565</v>
      </c>
      <c r="I11" s="34">
        <f t="shared" si="0"/>
        <v>16950</v>
      </c>
      <c r="J11" s="30">
        <v>2734</v>
      </c>
      <c r="K11" s="44"/>
      <c r="L11" s="50"/>
      <c r="M11" s="15" t="s">
        <v>33</v>
      </c>
      <c r="N11" s="50"/>
      <c r="O11" s="31"/>
    </row>
    <row r="12" spans="1:22" ht="18" customHeight="1">
      <c r="A12" s="9"/>
      <c r="B12" s="14" t="s">
        <v>21</v>
      </c>
      <c r="C12" s="46"/>
      <c r="D12" s="52"/>
      <c r="E12" s="56"/>
      <c r="F12" s="15" t="s">
        <v>32</v>
      </c>
      <c r="G12" s="17">
        <v>20</v>
      </c>
      <c r="H12" s="18">
        <v>340</v>
      </c>
      <c r="I12" s="34">
        <f t="shared" si="0"/>
        <v>6800</v>
      </c>
      <c r="J12" s="30">
        <v>1097</v>
      </c>
      <c r="K12" s="44"/>
      <c r="L12" s="50"/>
      <c r="M12" s="15" t="s">
        <v>35</v>
      </c>
      <c r="N12" s="50"/>
      <c r="O12" s="31"/>
    </row>
    <row r="13" spans="1:22" ht="18" customHeight="1">
      <c r="A13" s="9"/>
      <c r="B13" s="14" t="s">
        <v>21</v>
      </c>
      <c r="C13" s="47"/>
      <c r="D13" s="53"/>
      <c r="E13" s="56"/>
      <c r="F13" s="15" t="s">
        <v>32</v>
      </c>
      <c r="G13" s="17">
        <v>20</v>
      </c>
      <c r="H13" s="18">
        <v>340</v>
      </c>
      <c r="I13" s="34">
        <f t="shared" si="0"/>
        <v>6800</v>
      </c>
      <c r="J13" s="30">
        <v>1097</v>
      </c>
      <c r="K13" s="44"/>
      <c r="L13" s="50"/>
      <c r="M13" s="15" t="s">
        <v>35</v>
      </c>
      <c r="N13" s="50"/>
      <c r="O13" s="31"/>
    </row>
    <row r="14" spans="1:22" ht="18" customHeight="1">
      <c r="A14" s="21"/>
      <c r="B14" s="14" t="s">
        <v>21</v>
      </c>
      <c r="C14" s="48" t="s">
        <v>36</v>
      </c>
      <c r="D14" s="54" t="s">
        <v>23</v>
      </c>
      <c r="E14" s="57">
        <v>4</v>
      </c>
      <c r="F14" s="22" t="s">
        <v>37</v>
      </c>
      <c r="G14" s="23" t="s">
        <v>46</v>
      </c>
      <c r="H14" s="24"/>
      <c r="I14" s="59">
        <v>53770</v>
      </c>
      <c r="J14" s="61">
        <v>8673</v>
      </c>
      <c r="K14" s="48">
        <v>236</v>
      </c>
      <c r="L14" s="54">
        <v>1.248</v>
      </c>
      <c r="M14" s="22" t="s">
        <v>39</v>
      </c>
      <c r="N14" s="54" t="s">
        <v>40</v>
      </c>
      <c r="O14" s="31"/>
      <c r="P14" s="1" t="str">
        <f>C14&amp;"-1009-"&amp;E14</f>
        <v>ML12206-1009-4</v>
      </c>
      <c r="Q14" s="64">
        <f>E14</f>
        <v>4</v>
      </c>
      <c r="R14" s="1">
        <f>K14</f>
        <v>236</v>
      </c>
      <c r="S14" s="1">
        <f>L14</f>
        <v>1.248</v>
      </c>
      <c r="T14" s="22" t="s">
        <v>37</v>
      </c>
      <c r="U14" s="1" t="s">
        <v>38</v>
      </c>
      <c r="V14" s="65">
        <v>8673</v>
      </c>
    </row>
    <row r="15" spans="1:22" ht="18" customHeight="1">
      <c r="A15" s="21"/>
      <c r="B15" s="14" t="s">
        <v>21</v>
      </c>
      <c r="C15" s="49"/>
      <c r="D15" s="55"/>
      <c r="E15" s="58"/>
      <c r="F15" s="26" t="s">
        <v>37</v>
      </c>
      <c r="G15" s="23" t="s">
        <v>38</v>
      </c>
      <c r="H15" s="27"/>
      <c r="I15" s="59"/>
      <c r="J15" s="62"/>
      <c r="K15" s="49"/>
      <c r="L15" s="55"/>
      <c r="M15" s="26" t="s">
        <v>39</v>
      </c>
      <c r="N15" s="55"/>
      <c r="O15" s="31"/>
      <c r="V15" s="66"/>
    </row>
    <row r="16" spans="1:22" ht="18" customHeight="1">
      <c r="A16" s="21"/>
      <c r="B16" s="14" t="s">
        <v>21</v>
      </c>
      <c r="C16" s="49"/>
      <c r="D16" s="55"/>
      <c r="E16" s="58"/>
      <c r="F16" s="26" t="s">
        <v>37</v>
      </c>
      <c r="G16" s="23" t="s">
        <v>38</v>
      </c>
      <c r="H16" s="27"/>
      <c r="I16" s="59"/>
      <c r="J16" s="62"/>
      <c r="K16" s="49"/>
      <c r="L16" s="55"/>
      <c r="M16" s="26" t="s">
        <v>39</v>
      </c>
      <c r="N16" s="55"/>
      <c r="O16" s="31"/>
      <c r="V16" s="66"/>
    </row>
    <row r="17" spans="1:22" ht="18" customHeight="1">
      <c r="A17" s="21"/>
      <c r="B17" s="14" t="s">
        <v>21</v>
      </c>
      <c r="C17" s="49"/>
      <c r="D17" s="55"/>
      <c r="E17" s="58"/>
      <c r="F17" s="26" t="s">
        <v>37</v>
      </c>
      <c r="G17" s="23" t="s">
        <v>38</v>
      </c>
      <c r="H17" s="27"/>
      <c r="I17" s="60"/>
      <c r="J17" s="63"/>
      <c r="K17" s="49"/>
      <c r="L17" s="55"/>
      <c r="M17" s="26" t="s">
        <v>39</v>
      </c>
      <c r="N17" s="55"/>
      <c r="O17" s="31"/>
      <c r="V17" s="67"/>
    </row>
    <row r="18" spans="1:22" ht="18" customHeight="1">
      <c r="A18" s="21"/>
      <c r="B18" s="14" t="s">
        <v>21</v>
      </c>
      <c r="C18" s="49" t="s">
        <v>22</v>
      </c>
      <c r="D18" s="55" t="s">
        <v>23</v>
      </c>
      <c r="E18" s="58">
        <v>1</v>
      </c>
      <c r="F18" s="26" t="s">
        <v>41</v>
      </c>
      <c r="G18" s="28">
        <v>5</v>
      </c>
      <c r="H18" s="29">
        <v>300</v>
      </c>
      <c r="I18" s="34">
        <f>G:G*H:H</f>
        <v>1500</v>
      </c>
      <c r="J18" s="30">
        <v>242</v>
      </c>
      <c r="K18" s="49">
        <v>59.5</v>
      </c>
      <c r="L18" s="55">
        <v>0.36699999999999999</v>
      </c>
      <c r="M18" s="26" t="s">
        <v>42</v>
      </c>
      <c r="N18" s="55"/>
      <c r="O18" s="31"/>
      <c r="P18" s="1" t="str">
        <f>C18&amp;"/"&amp;C22&amp;"-1009-"&amp;E18</f>
        <v>MS0134/ML12496-1009-1</v>
      </c>
      <c r="Q18" s="64">
        <f>E18</f>
        <v>1</v>
      </c>
      <c r="R18" s="1">
        <f>K18</f>
        <v>59.5</v>
      </c>
      <c r="S18" s="1">
        <f>L18</f>
        <v>0.36699999999999999</v>
      </c>
      <c r="T18" s="1" t="s">
        <v>48</v>
      </c>
      <c r="U18" s="1">
        <v>34</v>
      </c>
      <c r="V18" s="1">
        <v>1710</v>
      </c>
    </row>
    <row r="19" spans="1:22" ht="18" customHeight="1">
      <c r="A19" s="21"/>
      <c r="B19" s="14" t="s">
        <v>21</v>
      </c>
      <c r="C19" s="49"/>
      <c r="D19" s="55"/>
      <c r="E19" s="58"/>
      <c r="F19" s="26" t="s">
        <v>47</v>
      </c>
      <c r="G19" s="28">
        <v>10</v>
      </c>
      <c r="H19" s="29">
        <v>300</v>
      </c>
      <c r="I19" s="34">
        <f>G:G*H:H</f>
        <v>3000</v>
      </c>
      <c r="J19" s="30">
        <v>484</v>
      </c>
      <c r="K19" s="49"/>
      <c r="L19" s="55"/>
      <c r="M19" s="26" t="s">
        <v>42</v>
      </c>
      <c r="N19" s="55"/>
      <c r="O19" s="31"/>
    </row>
    <row r="20" spans="1:22" ht="18" customHeight="1">
      <c r="A20" s="21"/>
      <c r="B20" s="14" t="s">
        <v>21</v>
      </c>
      <c r="C20" s="49"/>
      <c r="D20" s="55"/>
      <c r="E20" s="58"/>
      <c r="F20" s="26" t="s">
        <v>28</v>
      </c>
      <c r="G20" s="28">
        <v>4</v>
      </c>
      <c r="H20" s="29">
        <v>300</v>
      </c>
      <c r="I20" s="34">
        <f>G:G*H:H</f>
        <v>1200</v>
      </c>
      <c r="J20" s="30">
        <v>194</v>
      </c>
      <c r="K20" s="49"/>
      <c r="L20" s="55"/>
      <c r="M20" s="26" t="s">
        <v>42</v>
      </c>
      <c r="N20" s="55"/>
      <c r="O20" s="31"/>
    </row>
    <row r="21" spans="1:22" ht="18" customHeight="1">
      <c r="A21" s="21"/>
      <c r="B21" s="14" t="s">
        <v>21</v>
      </c>
      <c r="C21" s="49"/>
      <c r="D21" s="55"/>
      <c r="E21" s="58"/>
      <c r="F21" s="26" t="s">
        <v>28</v>
      </c>
      <c r="G21" s="28">
        <v>5</v>
      </c>
      <c r="H21" s="29">
        <v>300</v>
      </c>
      <c r="I21" s="34">
        <f>G:G*H:H</f>
        <v>1500</v>
      </c>
      <c r="J21" s="30">
        <v>242</v>
      </c>
      <c r="K21" s="49"/>
      <c r="L21" s="55"/>
      <c r="M21" s="26" t="s">
        <v>42</v>
      </c>
      <c r="N21" s="55"/>
      <c r="O21" s="31"/>
    </row>
    <row r="22" spans="1:22" ht="18" customHeight="1">
      <c r="A22" s="21"/>
      <c r="B22" s="14" t="s">
        <v>21</v>
      </c>
      <c r="C22" s="25" t="s">
        <v>43</v>
      </c>
      <c r="D22" s="26" t="s">
        <v>23</v>
      </c>
      <c r="E22" s="58"/>
      <c r="F22" s="26" t="s">
        <v>44</v>
      </c>
      <c r="G22" s="28">
        <v>10</v>
      </c>
      <c r="H22" s="29">
        <v>340</v>
      </c>
      <c r="I22" s="34">
        <f>G:G*H:H</f>
        <v>3400</v>
      </c>
      <c r="J22" s="30">
        <v>548</v>
      </c>
      <c r="K22" s="49"/>
      <c r="L22" s="55"/>
      <c r="M22" s="26" t="s">
        <v>45</v>
      </c>
      <c r="N22" s="55"/>
      <c r="O22" s="31"/>
      <c r="Q22" s="64"/>
    </row>
  </sheetData>
  <mergeCells count="38">
    <mergeCell ref="N4:N5"/>
    <mergeCell ref="N6:N9"/>
    <mergeCell ref="N10:N13"/>
    <mergeCell ref="N14:N17"/>
    <mergeCell ref="N18:N22"/>
    <mergeCell ref="K18:K22"/>
    <mergeCell ref="L4:L5"/>
    <mergeCell ref="L6:L9"/>
    <mergeCell ref="L10:L13"/>
    <mergeCell ref="L14:L17"/>
    <mergeCell ref="L18:L22"/>
    <mergeCell ref="I14:I17"/>
    <mergeCell ref="J14:J17"/>
    <mergeCell ref="K4:K5"/>
    <mergeCell ref="K6:K9"/>
    <mergeCell ref="K10:K13"/>
    <mergeCell ref="K14:K17"/>
    <mergeCell ref="E4:E5"/>
    <mergeCell ref="E6:E9"/>
    <mergeCell ref="E10:E13"/>
    <mergeCell ref="E14:E17"/>
    <mergeCell ref="E18:E22"/>
    <mergeCell ref="D4:D5"/>
    <mergeCell ref="D6:D9"/>
    <mergeCell ref="D10:D13"/>
    <mergeCell ref="D14:D17"/>
    <mergeCell ref="D18:D21"/>
    <mergeCell ref="C4:C5"/>
    <mergeCell ref="C6:C9"/>
    <mergeCell ref="C10:C13"/>
    <mergeCell ref="C14:C17"/>
    <mergeCell ref="C18:C21"/>
    <mergeCell ref="D1:N1"/>
    <mergeCell ref="C2:D2"/>
    <mergeCell ref="E2:F2"/>
    <mergeCell ref="G2:H2"/>
    <mergeCell ref="I2:J2"/>
    <mergeCell ref="K2:L2"/>
  </mergeCells>
  <phoneticPr fontId="11" type="noConversion"/>
  <printOptions verticalCentered="1"/>
  <pageMargins left="0.118055555555556" right="0.118055555555556" top="0.118055555555556" bottom="0.118055555555556" header="0.3" footer="0.3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京258库快陆（慢飞）-第73单-2015-10-09-13包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Administrator</cp:lastModifiedBy>
  <dcterms:created xsi:type="dcterms:W3CDTF">2011-12-31T06:39:00Z</dcterms:created>
  <dcterms:modified xsi:type="dcterms:W3CDTF">2015-10-09T22:16:57Z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