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240"/>
  </bookViews>
  <sheets>
    <sheet name="京258库飞机-第143单-2015-09-29-14包" sheetId="1" r:id="rId1"/>
  </sheets>
  <calcPr calcId="124519"/>
</workbook>
</file>

<file path=xl/calcChain.xml><?xml version="1.0" encoding="utf-8"?>
<calcChain xmlns="http://schemas.openxmlformats.org/spreadsheetml/2006/main">
  <c r="D73" i="1"/>
  <c r="E73"/>
  <c r="F73"/>
  <c r="H69"/>
  <c r="H68"/>
  <c r="H67"/>
  <c r="H66"/>
  <c r="H65"/>
  <c r="H64"/>
  <c r="H63"/>
  <c r="H61"/>
  <c r="H60"/>
  <c r="H59"/>
  <c r="H58"/>
  <c r="H57"/>
  <c r="H55"/>
  <c r="H54"/>
  <c r="H43"/>
  <c r="H42"/>
  <c r="H41"/>
  <c r="H40"/>
  <c r="H39"/>
  <c r="H38"/>
  <c r="H34"/>
  <c r="H33"/>
  <c r="H32"/>
  <c r="H30"/>
  <c r="H29"/>
  <c r="H28"/>
  <c r="H27"/>
  <c r="H26"/>
  <c r="H25"/>
  <c r="H24"/>
  <c r="H23"/>
  <c r="H22"/>
  <c r="H21"/>
  <c r="H20"/>
  <c r="H19"/>
  <c r="H18"/>
  <c r="H17"/>
  <c r="H16"/>
  <c r="H15"/>
  <c r="H14"/>
  <c r="H11"/>
  <c r="H10"/>
  <c r="H9"/>
  <c r="H8"/>
  <c r="H7"/>
  <c r="H6"/>
  <c r="H5"/>
  <c r="H4"/>
</calcChain>
</file>

<file path=xl/sharedStrings.xml><?xml version="1.0" encoding="utf-8"?>
<sst xmlns="http://schemas.openxmlformats.org/spreadsheetml/2006/main" count="260" uniqueCount="107">
  <si>
    <t>京258库飞机-第143单-2015-09-29-14包</t>
  </si>
  <si>
    <t>出库单位：258库飞机</t>
  </si>
  <si>
    <t>日期：2015-09-29</t>
  </si>
  <si>
    <t>总包数：14</t>
  </si>
  <si>
    <t>总数量：1161</t>
  </si>
  <si>
    <t>总体积：5.334</t>
  </si>
  <si>
    <t>货主</t>
  </si>
  <si>
    <t>入库日期</t>
  </si>
  <si>
    <t>包数</t>
  </si>
  <si>
    <t>品名</t>
  </si>
  <si>
    <t>件数</t>
  </si>
  <si>
    <t>单价</t>
  </si>
  <si>
    <t>总货值</t>
  </si>
  <si>
    <t>公斤数</t>
  </si>
  <si>
    <t>立方数</t>
  </si>
  <si>
    <t>品牌</t>
  </si>
  <si>
    <t>备注</t>
  </si>
  <si>
    <t>MS0540</t>
  </si>
  <si>
    <t>2015-09-29</t>
  </si>
  <si>
    <t>女棉服</t>
  </si>
  <si>
    <t>comstil</t>
  </si>
  <si>
    <t>MS12638</t>
  </si>
  <si>
    <t>童棉服</t>
  </si>
  <si>
    <t>purosporo</t>
  </si>
  <si>
    <t>MT0250</t>
  </si>
  <si>
    <t>童连衣裙</t>
  </si>
  <si>
    <t>MT12653</t>
  </si>
  <si>
    <t>女童棉服</t>
  </si>
  <si>
    <t>B</t>
  </si>
  <si>
    <t>H8434</t>
  </si>
  <si>
    <t>PANGMILLION</t>
  </si>
  <si>
    <t>帽子</t>
  </si>
  <si>
    <t>MT12645</t>
  </si>
  <si>
    <t>K (香奈儿）</t>
  </si>
  <si>
    <t>1）55kg-85件 2）50.5kg-85件</t>
  </si>
  <si>
    <t>E9590</t>
  </si>
  <si>
    <t>女棉服27kg</t>
  </si>
  <si>
    <t>STYLEX</t>
  </si>
  <si>
    <t>E5359</t>
  </si>
  <si>
    <t>2015-09-28</t>
  </si>
  <si>
    <t>男羽绒服19kg</t>
  </si>
  <si>
    <t>HILFIGERDENIM</t>
  </si>
  <si>
    <t>女套装</t>
  </si>
  <si>
    <t>K 鳄鱼</t>
  </si>
  <si>
    <t>女运动上衣</t>
  </si>
  <si>
    <t>ML0193</t>
  </si>
  <si>
    <t>裙子18kg</t>
  </si>
  <si>
    <t>LEALIS</t>
  </si>
  <si>
    <t>ML6710</t>
  </si>
  <si>
    <t>男棉服28kg</t>
  </si>
  <si>
    <t>MS0050</t>
  </si>
  <si>
    <t>女棉服16.5kg</t>
  </si>
  <si>
    <t>WITGRISH</t>
  </si>
  <si>
    <t>MS12492</t>
  </si>
  <si>
    <t>男棉服40.5kg</t>
  </si>
  <si>
    <t>REMAIN</t>
  </si>
  <si>
    <t>男棉服</t>
  </si>
  <si>
    <t>MS0008</t>
  </si>
  <si>
    <t>男毛衣44kg</t>
  </si>
  <si>
    <t>K (CK ARMANI )</t>
  </si>
  <si>
    <t>MS12216</t>
  </si>
  <si>
    <t>帽子7kg</t>
  </si>
  <si>
    <t>杂</t>
  </si>
  <si>
    <t>女革包</t>
  </si>
  <si>
    <t>女毛衣</t>
  </si>
  <si>
    <t>女裤</t>
  </si>
  <si>
    <t>女仿皮上衣</t>
  </si>
  <si>
    <t>女短裤</t>
  </si>
  <si>
    <t>女棉马甲</t>
  </si>
  <si>
    <t>女大衣</t>
  </si>
  <si>
    <t>女上衣</t>
  </si>
  <si>
    <t>ML6711</t>
  </si>
  <si>
    <t>女棉服29.5kg</t>
  </si>
  <si>
    <t>MS12221</t>
  </si>
  <si>
    <t>女连衣裙17kg</t>
  </si>
  <si>
    <t>VINIDS</t>
  </si>
  <si>
    <t>MS0577</t>
  </si>
  <si>
    <t>女羽绒服30kg</t>
  </si>
  <si>
    <t>SHARELAURA</t>
  </si>
  <si>
    <t>TWINSET</t>
  </si>
  <si>
    <t>女手套</t>
  </si>
  <si>
    <t>WARMTH</t>
  </si>
  <si>
    <t>女连衣裙</t>
  </si>
  <si>
    <t>MS0553</t>
  </si>
  <si>
    <t>女皮靴20kg</t>
  </si>
  <si>
    <t>K</t>
  </si>
  <si>
    <t>女皮靴</t>
  </si>
  <si>
    <t>MS6915</t>
  </si>
  <si>
    <t>男皮鞋6kg</t>
  </si>
  <si>
    <t>童革鞋3.5kg</t>
  </si>
  <si>
    <t>MS0240</t>
  </si>
  <si>
    <t>2015-09-26</t>
  </si>
  <si>
    <t>男皮鞋12kg</t>
  </si>
  <si>
    <t>男皮鞋</t>
  </si>
  <si>
    <t>ML12578</t>
  </si>
  <si>
    <t>童装46kg</t>
  </si>
  <si>
    <t>ML0957</t>
  </si>
  <si>
    <t>女棉服42kg</t>
  </si>
  <si>
    <t>FINEBABYCAT</t>
  </si>
  <si>
    <t>H</t>
    <phoneticPr fontId="1" type="noConversion"/>
  </si>
  <si>
    <t>E</t>
    <phoneticPr fontId="1" type="noConversion"/>
  </si>
  <si>
    <t>M</t>
    <phoneticPr fontId="1" type="noConversion"/>
  </si>
  <si>
    <t>总货值$</t>
    <phoneticPr fontId="1" type="noConversion"/>
  </si>
  <si>
    <t>222190元=35836$</t>
    <phoneticPr fontId="1" type="noConversion"/>
  </si>
  <si>
    <t>城市</t>
    <phoneticPr fontId="1" type="noConversion"/>
  </si>
  <si>
    <t>莫斯科</t>
    <phoneticPr fontId="1" type="noConversion"/>
  </si>
  <si>
    <t>1）41kg-32件 2）37kg-38件</t>
    <phoneticPr fontId="1" type="noConversion"/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</si>
</sst>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76" formatCode="&quot;￥&quot;#,##0;[Red]&quot;￥&quot;#,##0"/>
  </numFmts>
  <fonts count="12">
    <font>
      <sz val="11"/>
      <color theme="1"/>
      <name val="宋体"/>
      <family val="2"/>
      <charset val="134"/>
      <scheme val="minor"/>
    </font>
    <font>
      <b/>
      <sz val="18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宋体"/>
      <family val="2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宋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43" fontId="10" fillId="0" borderId="2" xfId="1" applyFont="1" applyBorder="1" applyAlignment="1">
      <alignment horizontal="center" vertical="center" wrapText="1"/>
    </xf>
    <xf numFmtId="43" fontId="10" fillId="0" borderId="4" xfId="1" applyFont="1" applyBorder="1" applyAlignment="1">
      <alignment horizontal="center" vertical="center" wrapText="1"/>
    </xf>
    <xf numFmtId="43" fontId="10" fillId="0" borderId="3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tabSelected="1" workbookViewId="0">
      <selection activeCell="M7" sqref="M7:M13"/>
    </sheetView>
  </sheetViews>
  <sheetFormatPr defaultRowHeight="13.5"/>
  <cols>
    <col min="1" max="1" width="10" customWidth="1"/>
    <col min="2" max="2" width="9.75" customWidth="1"/>
    <col min="3" max="3" width="11.125" customWidth="1"/>
    <col min="4" max="4" width="6.25" customWidth="1"/>
    <col min="5" max="5" width="12.375" customWidth="1"/>
    <col min="6" max="6" width="8.25" customWidth="1"/>
    <col min="7" max="7" width="8.875" customWidth="1"/>
    <col min="8" max="9" width="10" customWidth="1"/>
    <col min="10" max="10" width="7.25" customWidth="1"/>
    <col min="11" max="11" width="6.875" customWidth="1"/>
    <col min="12" max="12" width="9.5" customWidth="1"/>
    <col min="13" max="13" width="27.625" customWidth="1"/>
  </cols>
  <sheetData>
    <row r="1" spans="1:13" ht="26.25" customHeigh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1.5" customHeight="1">
      <c r="A2" s="2"/>
      <c r="B2" s="27" t="s">
        <v>1</v>
      </c>
      <c r="C2" s="29"/>
      <c r="D2" s="27" t="s">
        <v>2</v>
      </c>
      <c r="E2" s="28"/>
      <c r="F2" s="27" t="s">
        <v>3</v>
      </c>
      <c r="G2" s="29"/>
      <c r="H2" s="14" t="s">
        <v>103</v>
      </c>
      <c r="I2" s="16"/>
      <c r="J2" s="14" t="s">
        <v>4</v>
      </c>
      <c r="K2" s="15"/>
      <c r="L2" s="16"/>
      <c r="M2" s="6" t="s">
        <v>5</v>
      </c>
    </row>
    <row r="3" spans="1:13" ht="29.25" customHeight="1">
      <c r="A3" s="3" t="s">
        <v>104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102</v>
      </c>
      <c r="J3" s="5" t="s">
        <v>13</v>
      </c>
      <c r="K3" s="5" t="s">
        <v>14</v>
      </c>
      <c r="L3" s="5" t="s">
        <v>15</v>
      </c>
      <c r="M3" s="5" t="s">
        <v>16</v>
      </c>
    </row>
    <row r="4" spans="1:13" ht="24" customHeight="1">
      <c r="A4" s="4" t="s">
        <v>105</v>
      </c>
      <c r="B4" s="18" t="s">
        <v>29</v>
      </c>
      <c r="C4" s="18" t="s">
        <v>18</v>
      </c>
      <c r="D4" s="17">
        <v>2</v>
      </c>
      <c r="E4" s="7" t="s">
        <v>19</v>
      </c>
      <c r="F4" s="8">
        <v>32</v>
      </c>
      <c r="G4" s="11">
        <v>330</v>
      </c>
      <c r="H4" s="11">
        <f>F4*G4</f>
        <v>10560</v>
      </c>
      <c r="I4" s="7">
        <v>1703</v>
      </c>
      <c r="J4" s="18">
        <v>78</v>
      </c>
      <c r="K4" s="18">
        <v>0.85</v>
      </c>
      <c r="L4" s="7" t="s">
        <v>30</v>
      </c>
      <c r="M4" s="18" t="s">
        <v>106</v>
      </c>
    </row>
    <row r="5" spans="1:13" ht="24" customHeight="1">
      <c r="A5" s="4" t="s">
        <v>105</v>
      </c>
      <c r="B5" s="18"/>
      <c r="C5" s="18"/>
      <c r="D5" s="17"/>
      <c r="E5" s="7" t="s">
        <v>19</v>
      </c>
      <c r="F5" s="8">
        <v>28</v>
      </c>
      <c r="G5" s="11">
        <v>330</v>
      </c>
      <c r="H5" s="11">
        <f t="shared" ref="H5:H11" si="0">F5*G5</f>
        <v>9240</v>
      </c>
      <c r="I5" s="7">
        <v>1490</v>
      </c>
      <c r="J5" s="18"/>
      <c r="K5" s="18"/>
      <c r="L5" s="7" t="s">
        <v>30</v>
      </c>
      <c r="M5" s="18"/>
    </row>
    <row r="6" spans="1:13" ht="24" customHeight="1">
      <c r="A6" s="4" t="s">
        <v>105</v>
      </c>
      <c r="B6" s="18"/>
      <c r="C6" s="18"/>
      <c r="D6" s="17"/>
      <c r="E6" s="7" t="s">
        <v>31</v>
      </c>
      <c r="F6" s="8">
        <v>10</v>
      </c>
      <c r="G6" s="11">
        <v>120</v>
      </c>
      <c r="H6" s="11">
        <f t="shared" si="0"/>
        <v>1200</v>
      </c>
      <c r="I6" s="7">
        <v>194</v>
      </c>
      <c r="J6" s="18"/>
      <c r="K6" s="18"/>
      <c r="L6" s="7"/>
      <c r="M6" s="18"/>
    </row>
    <row r="7" spans="1:13" ht="24" customHeight="1">
      <c r="A7" s="4" t="s">
        <v>105</v>
      </c>
      <c r="B7" s="18" t="s">
        <v>35</v>
      </c>
      <c r="C7" s="18" t="s">
        <v>18</v>
      </c>
      <c r="D7" s="17">
        <v>1</v>
      </c>
      <c r="E7" s="7" t="s">
        <v>36</v>
      </c>
      <c r="F7" s="8">
        <v>5</v>
      </c>
      <c r="G7" s="11">
        <v>1247</v>
      </c>
      <c r="H7" s="11">
        <f t="shared" si="0"/>
        <v>6235</v>
      </c>
      <c r="I7" s="7">
        <v>1006</v>
      </c>
      <c r="J7" s="18">
        <v>47.5</v>
      </c>
      <c r="K7" s="18">
        <v>0.40100000000000002</v>
      </c>
      <c r="L7" s="7" t="s">
        <v>37</v>
      </c>
      <c r="M7" s="18"/>
    </row>
    <row r="8" spans="1:13" ht="24" customHeight="1">
      <c r="A8" s="4" t="s">
        <v>105</v>
      </c>
      <c r="B8" s="18"/>
      <c r="C8" s="18"/>
      <c r="D8" s="17"/>
      <c r="E8" s="7" t="s">
        <v>19</v>
      </c>
      <c r="F8" s="8">
        <v>6</v>
      </c>
      <c r="G8" s="11">
        <v>617</v>
      </c>
      <c r="H8" s="11">
        <f t="shared" si="0"/>
        <v>3702</v>
      </c>
      <c r="I8" s="7">
        <v>597</v>
      </c>
      <c r="J8" s="18"/>
      <c r="K8" s="18"/>
      <c r="L8" s="7" t="s">
        <v>37</v>
      </c>
      <c r="M8" s="18"/>
    </row>
    <row r="9" spans="1:13" ht="24" customHeight="1">
      <c r="A9" s="4" t="s">
        <v>105</v>
      </c>
      <c r="B9" s="18"/>
      <c r="C9" s="18"/>
      <c r="D9" s="17"/>
      <c r="E9" s="7" t="s">
        <v>19</v>
      </c>
      <c r="F9" s="8">
        <v>1</v>
      </c>
      <c r="G9" s="11">
        <v>1184</v>
      </c>
      <c r="H9" s="11">
        <f t="shared" si="0"/>
        <v>1184</v>
      </c>
      <c r="I9" s="7">
        <v>191</v>
      </c>
      <c r="J9" s="18"/>
      <c r="K9" s="18"/>
      <c r="L9" s="7" t="s">
        <v>37</v>
      </c>
      <c r="M9" s="18"/>
    </row>
    <row r="10" spans="1:13" ht="24" customHeight="1">
      <c r="A10" s="4" t="s">
        <v>105</v>
      </c>
      <c r="B10" s="18"/>
      <c r="C10" s="18"/>
      <c r="D10" s="17"/>
      <c r="E10" s="7" t="s">
        <v>19</v>
      </c>
      <c r="F10" s="8">
        <v>8</v>
      </c>
      <c r="G10" s="11">
        <v>869</v>
      </c>
      <c r="H10" s="11">
        <f t="shared" si="0"/>
        <v>6952</v>
      </c>
      <c r="I10" s="7">
        <v>1121</v>
      </c>
      <c r="J10" s="18"/>
      <c r="K10" s="18"/>
      <c r="L10" s="7" t="s">
        <v>37</v>
      </c>
      <c r="M10" s="18"/>
    </row>
    <row r="11" spans="1:13" ht="24" customHeight="1">
      <c r="A11" s="4" t="s">
        <v>105</v>
      </c>
      <c r="B11" s="12" t="s">
        <v>38</v>
      </c>
      <c r="C11" s="12" t="s">
        <v>18</v>
      </c>
      <c r="D11" s="17"/>
      <c r="E11" s="7" t="s">
        <v>40</v>
      </c>
      <c r="F11" s="8">
        <v>8</v>
      </c>
      <c r="G11" s="11">
        <v>280</v>
      </c>
      <c r="H11" s="11">
        <f t="shared" si="0"/>
        <v>2240</v>
      </c>
      <c r="I11" s="7">
        <v>361</v>
      </c>
      <c r="J11" s="18"/>
      <c r="K11" s="18"/>
      <c r="L11" s="7" t="s">
        <v>41</v>
      </c>
      <c r="M11" s="18"/>
    </row>
    <row r="12" spans="1:13" ht="24" customHeight="1">
      <c r="A12" s="4" t="s">
        <v>105</v>
      </c>
      <c r="B12" s="22"/>
      <c r="C12" s="22"/>
      <c r="D12" s="17"/>
      <c r="E12" s="7" t="s">
        <v>42</v>
      </c>
      <c r="F12" s="8">
        <v>8</v>
      </c>
      <c r="G12" s="11"/>
      <c r="H12" s="20">
        <v>1340</v>
      </c>
      <c r="I12" s="12">
        <v>216</v>
      </c>
      <c r="J12" s="18"/>
      <c r="K12" s="18"/>
      <c r="L12" s="7" t="s">
        <v>43</v>
      </c>
      <c r="M12" s="18"/>
    </row>
    <row r="13" spans="1:13" ht="24" customHeight="1">
      <c r="A13" s="4" t="s">
        <v>105</v>
      </c>
      <c r="B13" s="13"/>
      <c r="C13" s="13"/>
      <c r="D13" s="17"/>
      <c r="E13" s="7" t="s">
        <v>44</v>
      </c>
      <c r="F13" s="8">
        <v>3</v>
      </c>
      <c r="G13" s="11"/>
      <c r="H13" s="21"/>
      <c r="I13" s="13"/>
      <c r="J13" s="18"/>
      <c r="K13" s="18"/>
      <c r="L13" s="7" t="s">
        <v>43</v>
      </c>
      <c r="M13" s="18"/>
    </row>
    <row r="14" spans="1:13" ht="24" customHeight="1">
      <c r="A14" s="4" t="s">
        <v>105</v>
      </c>
      <c r="B14" s="12" t="s">
        <v>17</v>
      </c>
      <c r="C14" s="12" t="s">
        <v>18</v>
      </c>
      <c r="D14" s="17">
        <v>1</v>
      </c>
      <c r="E14" s="7" t="s">
        <v>19</v>
      </c>
      <c r="F14" s="8">
        <v>5</v>
      </c>
      <c r="G14" s="11">
        <v>200</v>
      </c>
      <c r="H14" s="11">
        <f t="shared" ref="H14:H30" si="1">F14*G14</f>
        <v>1000</v>
      </c>
      <c r="I14" s="7">
        <v>161</v>
      </c>
      <c r="J14" s="18">
        <v>66.2</v>
      </c>
      <c r="K14" s="18">
        <v>0.37</v>
      </c>
      <c r="L14" s="7"/>
      <c r="M14" s="18"/>
    </row>
    <row r="15" spans="1:13" ht="24" customHeight="1">
      <c r="A15" s="4" t="s">
        <v>105</v>
      </c>
      <c r="B15" s="22"/>
      <c r="C15" s="22"/>
      <c r="D15" s="17"/>
      <c r="E15" s="7" t="s">
        <v>19</v>
      </c>
      <c r="F15" s="8">
        <v>5</v>
      </c>
      <c r="G15" s="11">
        <v>200</v>
      </c>
      <c r="H15" s="11">
        <f t="shared" si="1"/>
        <v>1000</v>
      </c>
      <c r="I15" s="7">
        <v>161</v>
      </c>
      <c r="J15" s="18"/>
      <c r="K15" s="18"/>
      <c r="L15" s="7"/>
      <c r="M15" s="18"/>
    </row>
    <row r="16" spans="1:13" ht="24" customHeight="1">
      <c r="A16" s="4" t="s">
        <v>105</v>
      </c>
      <c r="B16" s="22"/>
      <c r="C16" s="22"/>
      <c r="D16" s="17"/>
      <c r="E16" s="7" t="s">
        <v>19</v>
      </c>
      <c r="F16" s="8">
        <v>5</v>
      </c>
      <c r="G16" s="11">
        <v>200</v>
      </c>
      <c r="H16" s="11">
        <f t="shared" si="1"/>
        <v>1000</v>
      </c>
      <c r="I16" s="7">
        <v>161</v>
      </c>
      <c r="J16" s="18"/>
      <c r="K16" s="18"/>
      <c r="L16" s="7"/>
      <c r="M16" s="18"/>
    </row>
    <row r="17" spans="1:13" ht="24" customHeight="1">
      <c r="A17" s="4" t="s">
        <v>105</v>
      </c>
      <c r="B17" s="22"/>
      <c r="C17" s="22"/>
      <c r="D17" s="17"/>
      <c r="E17" s="7" t="s">
        <v>19</v>
      </c>
      <c r="F17" s="8">
        <v>5</v>
      </c>
      <c r="G17" s="11">
        <v>200</v>
      </c>
      <c r="H17" s="11">
        <f t="shared" si="1"/>
        <v>1000</v>
      </c>
      <c r="I17" s="7">
        <v>161</v>
      </c>
      <c r="J17" s="18"/>
      <c r="K17" s="18"/>
      <c r="L17" s="7"/>
      <c r="M17" s="18"/>
    </row>
    <row r="18" spans="1:13" ht="24" customHeight="1">
      <c r="A18" s="4" t="s">
        <v>105</v>
      </c>
      <c r="B18" s="22"/>
      <c r="C18" s="22"/>
      <c r="D18" s="17"/>
      <c r="E18" s="7" t="s">
        <v>19</v>
      </c>
      <c r="F18" s="8">
        <v>5</v>
      </c>
      <c r="G18" s="11">
        <v>200</v>
      </c>
      <c r="H18" s="11">
        <f t="shared" si="1"/>
        <v>1000</v>
      </c>
      <c r="I18" s="7">
        <v>161</v>
      </c>
      <c r="J18" s="18"/>
      <c r="K18" s="18"/>
      <c r="L18" s="7"/>
      <c r="M18" s="18"/>
    </row>
    <row r="19" spans="1:13" ht="24" customHeight="1">
      <c r="A19" s="4" t="s">
        <v>105</v>
      </c>
      <c r="B19" s="22"/>
      <c r="C19" s="22"/>
      <c r="D19" s="17"/>
      <c r="E19" s="7" t="s">
        <v>19</v>
      </c>
      <c r="F19" s="8">
        <v>6</v>
      </c>
      <c r="G19" s="11">
        <v>500</v>
      </c>
      <c r="H19" s="11">
        <f t="shared" si="1"/>
        <v>3000</v>
      </c>
      <c r="I19" s="7">
        <v>484</v>
      </c>
      <c r="J19" s="18"/>
      <c r="K19" s="18"/>
      <c r="L19" s="7" t="s">
        <v>20</v>
      </c>
      <c r="M19" s="18"/>
    </row>
    <row r="20" spans="1:13" ht="24" customHeight="1">
      <c r="A20" s="4" t="s">
        <v>105</v>
      </c>
      <c r="B20" s="22"/>
      <c r="C20" s="22"/>
      <c r="D20" s="17"/>
      <c r="E20" s="7" t="s">
        <v>19</v>
      </c>
      <c r="F20" s="8">
        <v>5</v>
      </c>
      <c r="G20" s="11">
        <v>500</v>
      </c>
      <c r="H20" s="11">
        <f t="shared" si="1"/>
        <v>2500</v>
      </c>
      <c r="I20" s="7">
        <v>403</v>
      </c>
      <c r="J20" s="18"/>
      <c r="K20" s="18"/>
      <c r="L20" s="7" t="s">
        <v>20</v>
      </c>
      <c r="M20" s="18"/>
    </row>
    <row r="21" spans="1:13" ht="24" customHeight="1">
      <c r="A21" s="4" t="s">
        <v>105</v>
      </c>
      <c r="B21" s="22"/>
      <c r="C21" s="22"/>
      <c r="D21" s="17"/>
      <c r="E21" s="7" t="s">
        <v>19</v>
      </c>
      <c r="F21" s="8">
        <v>6</v>
      </c>
      <c r="G21" s="11">
        <v>500</v>
      </c>
      <c r="H21" s="11">
        <f t="shared" si="1"/>
        <v>3000</v>
      </c>
      <c r="I21" s="7">
        <v>484</v>
      </c>
      <c r="J21" s="18"/>
      <c r="K21" s="18"/>
      <c r="L21" s="7" t="s">
        <v>20</v>
      </c>
      <c r="M21" s="18"/>
    </row>
    <row r="22" spans="1:13" ht="24" customHeight="1">
      <c r="A22" s="4" t="s">
        <v>105</v>
      </c>
      <c r="B22" s="13"/>
      <c r="C22" s="13"/>
      <c r="D22" s="17"/>
      <c r="E22" s="7" t="s">
        <v>19</v>
      </c>
      <c r="F22" s="8">
        <v>6</v>
      </c>
      <c r="G22" s="11">
        <v>500</v>
      </c>
      <c r="H22" s="11">
        <f t="shared" si="1"/>
        <v>3000</v>
      </c>
      <c r="I22" s="7">
        <v>484</v>
      </c>
      <c r="J22" s="18"/>
      <c r="K22" s="18"/>
      <c r="L22" s="7" t="s">
        <v>20</v>
      </c>
      <c r="M22" s="18"/>
    </row>
    <row r="23" spans="1:13" ht="24" customHeight="1">
      <c r="A23" s="4" t="s">
        <v>105</v>
      </c>
      <c r="B23" s="18" t="s">
        <v>21</v>
      </c>
      <c r="C23" s="18" t="s">
        <v>18</v>
      </c>
      <c r="D23" s="17">
        <v>1</v>
      </c>
      <c r="E23" s="7" t="s">
        <v>22</v>
      </c>
      <c r="F23" s="8">
        <v>10</v>
      </c>
      <c r="G23" s="11">
        <v>273</v>
      </c>
      <c r="H23" s="11">
        <f t="shared" si="1"/>
        <v>2730</v>
      </c>
      <c r="I23" s="7">
        <v>440</v>
      </c>
      <c r="J23" s="18">
        <v>114.6</v>
      </c>
      <c r="K23" s="18">
        <v>0.35299999999999998</v>
      </c>
      <c r="L23" s="7" t="s">
        <v>23</v>
      </c>
      <c r="M23" s="18"/>
    </row>
    <row r="24" spans="1:13" ht="24" customHeight="1">
      <c r="A24" s="4" t="s">
        <v>105</v>
      </c>
      <c r="B24" s="18"/>
      <c r="C24" s="18"/>
      <c r="D24" s="17"/>
      <c r="E24" s="7" t="s">
        <v>22</v>
      </c>
      <c r="F24" s="8">
        <v>10</v>
      </c>
      <c r="G24" s="11">
        <v>273</v>
      </c>
      <c r="H24" s="11">
        <f t="shared" si="1"/>
        <v>2730</v>
      </c>
      <c r="I24" s="7">
        <v>440</v>
      </c>
      <c r="J24" s="18"/>
      <c r="K24" s="18"/>
      <c r="L24" s="7" t="s">
        <v>23</v>
      </c>
      <c r="M24" s="18"/>
    </row>
    <row r="25" spans="1:13" ht="24" customHeight="1">
      <c r="A25" s="4" t="s">
        <v>105</v>
      </c>
      <c r="B25" s="18"/>
      <c r="C25" s="18"/>
      <c r="D25" s="17"/>
      <c r="E25" s="7" t="s">
        <v>22</v>
      </c>
      <c r="F25" s="8">
        <v>10</v>
      </c>
      <c r="G25" s="11">
        <v>273</v>
      </c>
      <c r="H25" s="11">
        <f t="shared" si="1"/>
        <v>2730</v>
      </c>
      <c r="I25" s="7">
        <v>440</v>
      </c>
      <c r="J25" s="18"/>
      <c r="K25" s="18"/>
      <c r="L25" s="7" t="s">
        <v>23</v>
      </c>
      <c r="M25" s="18"/>
    </row>
    <row r="26" spans="1:13" ht="24" customHeight="1">
      <c r="A26" s="4" t="s">
        <v>105</v>
      </c>
      <c r="B26" s="18"/>
      <c r="C26" s="18"/>
      <c r="D26" s="17"/>
      <c r="E26" s="7" t="s">
        <v>22</v>
      </c>
      <c r="F26" s="8">
        <v>10</v>
      </c>
      <c r="G26" s="11">
        <v>273</v>
      </c>
      <c r="H26" s="11">
        <f t="shared" si="1"/>
        <v>2730</v>
      </c>
      <c r="I26" s="7">
        <v>440</v>
      </c>
      <c r="J26" s="18"/>
      <c r="K26" s="18"/>
      <c r="L26" s="7" t="s">
        <v>23</v>
      </c>
      <c r="M26" s="18"/>
    </row>
    <row r="27" spans="1:13" ht="24" customHeight="1">
      <c r="A27" s="4" t="s">
        <v>105</v>
      </c>
      <c r="B27" s="18"/>
      <c r="C27" s="18"/>
      <c r="D27" s="17"/>
      <c r="E27" s="7" t="s">
        <v>22</v>
      </c>
      <c r="F27" s="8">
        <v>10</v>
      </c>
      <c r="G27" s="11">
        <v>273</v>
      </c>
      <c r="H27" s="11">
        <f t="shared" si="1"/>
        <v>2730</v>
      </c>
      <c r="I27" s="7">
        <v>440</v>
      </c>
      <c r="J27" s="18"/>
      <c r="K27" s="18"/>
      <c r="L27" s="7" t="s">
        <v>23</v>
      </c>
      <c r="M27" s="18"/>
    </row>
    <row r="28" spans="1:13" ht="24" customHeight="1">
      <c r="A28" s="4" t="s">
        <v>105</v>
      </c>
      <c r="B28" s="18"/>
      <c r="C28" s="18"/>
      <c r="D28" s="17"/>
      <c r="E28" s="7" t="s">
        <v>22</v>
      </c>
      <c r="F28" s="8">
        <v>10</v>
      </c>
      <c r="G28" s="11">
        <v>273</v>
      </c>
      <c r="H28" s="11">
        <f t="shared" si="1"/>
        <v>2730</v>
      </c>
      <c r="I28" s="7">
        <v>440</v>
      </c>
      <c r="J28" s="18"/>
      <c r="K28" s="18"/>
      <c r="L28" s="7" t="s">
        <v>23</v>
      </c>
      <c r="M28" s="18"/>
    </row>
    <row r="29" spans="1:13" ht="24" customHeight="1">
      <c r="A29" s="4" t="s">
        <v>105</v>
      </c>
      <c r="B29" s="18"/>
      <c r="C29" s="18"/>
      <c r="D29" s="17"/>
      <c r="E29" s="7" t="s">
        <v>22</v>
      </c>
      <c r="F29" s="8">
        <v>10</v>
      </c>
      <c r="G29" s="11">
        <v>273</v>
      </c>
      <c r="H29" s="11">
        <f t="shared" si="1"/>
        <v>2730</v>
      </c>
      <c r="I29" s="7">
        <v>440</v>
      </c>
      <c r="J29" s="18"/>
      <c r="K29" s="18"/>
      <c r="L29" s="7" t="s">
        <v>23</v>
      </c>
      <c r="M29" s="18"/>
    </row>
    <row r="30" spans="1:13" ht="24" customHeight="1">
      <c r="A30" s="4" t="s">
        <v>105</v>
      </c>
      <c r="B30" s="18"/>
      <c r="C30" s="18"/>
      <c r="D30" s="17"/>
      <c r="E30" s="7" t="s">
        <v>22</v>
      </c>
      <c r="F30" s="8">
        <v>10</v>
      </c>
      <c r="G30" s="11">
        <v>273</v>
      </c>
      <c r="H30" s="11">
        <f t="shared" si="1"/>
        <v>2730</v>
      </c>
      <c r="I30" s="7">
        <v>440</v>
      </c>
      <c r="J30" s="18"/>
      <c r="K30" s="18"/>
      <c r="L30" s="7" t="s">
        <v>23</v>
      </c>
      <c r="M30" s="18"/>
    </row>
    <row r="31" spans="1:13" ht="24" customHeight="1">
      <c r="A31" s="4" t="s">
        <v>105</v>
      </c>
      <c r="B31" s="7" t="s">
        <v>24</v>
      </c>
      <c r="C31" s="7" t="s">
        <v>18</v>
      </c>
      <c r="D31" s="9">
        <v>1</v>
      </c>
      <c r="E31" s="7" t="s">
        <v>25</v>
      </c>
      <c r="F31" s="8">
        <v>180</v>
      </c>
      <c r="G31" s="11"/>
      <c r="H31" s="11">
        <v>17680</v>
      </c>
      <c r="I31" s="7">
        <v>2852</v>
      </c>
      <c r="J31" s="7">
        <v>62.2</v>
      </c>
      <c r="K31" s="7">
        <v>0.215</v>
      </c>
      <c r="L31" s="7"/>
      <c r="M31" s="7"/>
    </row>
    <row r="32" spans="1:13" ht="24" customHeight="1">
      <c r="A32" s="4" t="s">
        <v>105</v>
      </c>
      <c r="B32" s="7" t="s">
        <v>26</v>
      </c>
      <c r="C32" s="7" t="s">
        <v>18</v>
      </c>
      <c r="D32" s="9">
        <v>1</v>
      </c>
      <c r="E32" s="7" t="s">
        <v>27</v>
      </c>
      <c r="F32" s="8">
        <v>80</v>
      </c>
      <c r="G32" s="11">
        <v>100</v>
      </c>
      <c r="H32" s="11">
        <f t="shared" ref="H32:H34" si="2">F32*G32</f>
        <v>8000</v>
      </c>
      <c r="I32" s="7">
        <v>1290</v>
      </c>
      <c r="J32" s="7">
        <v>80.5</v>
      </c>
      <c r="K32" s="7">
        <v>0.49299999999999999</v>
      </c>
      <c r="L32" s="7" t="s">
        <v>28</v>
      </c>
      <c r="M32" s="7"/>
    </row>
    <row r="33" spans="1:13" ht="24" customHeight="1">
      <c r="A33" s="4" t="s">
        <v>105</v>
      </c>
      <c r="B33" s="18" t="s">
        <v>32</v>
      </c>
      <c r="C33" s="18" t="s">
        <v>18</v>
      </c>
      <c r="D33" s="17">
        <v>2</v>
      </c>
      <c r="E33" s="7" t="s">
        <v>19</v>
      </c>
      <c r="F33" s="8">
        <v>90</v>
      </c>
      <c r="G33" s="11">
        <v>70</v>
      </c>
      <c r="H33" s="11">
        <f t="shared" si="2"/>
        <v>6300</v>
      </c>
      <c r="I33" s="7">
        <v>1016</v>
      </c>
      <c r="J33" s="18">
        <v>105.5</v>
      </c>
      <c r="K33" s="18">
        <v>0.73799999999999999</v>
      </c>
      <c r="L33" s="7" t="s">
        <v>33</v>
      </c>
      <c r="M33" s="18" t="s">
        <v>34</v>
      </c>
    </row>
    <row r="34" spans="1:13" ht="24" customHeight="1">
      <c r="A34" s="4" t="s">
        <v>105</v>
      </c>
      <c r="B34" s="18"/>
      <c r="C34" s="18"/>
      <c r="D34" s="17"/>
      <c r="E34" s="7" t="s">
        <v>19</v>
      </c>
      <c r="F34" s="8">
        <v>80</v>
      </c>
      <c r="G34" s="11">
        <v>70</v>
      </c>
      <c r="H34" s="11">
        <f t="shared" si="2"/>
        <v>5600</v>
      </c>
      <c r="I34" s="7">
        <v>903</v>
      </c>
      <c r="J34" s="18"/>
      <c r="K34" s="18"/>
      <c r="L34" s="7" t="s">
        <v>33</v>
      </c>
      <c r="M34" s="18"/>
    </row>
    <row r="35" spans="1:13" ht="24" customHeight="1">
      <c r="A35" s="4" t="s">
        <v>105</v>
      </c>
      <c r="B35" s="18" t="s">
        <v>45</v>
      </c>
      <c r="C35" s="18" t="s">
        <v>18</v>
      </c>
      <c r="D35" s="17">
        <v>1</v>
      </c>
      <c r="E35" s="7" t="s">
        <v>46</v>
      </c>
      <c r="F35" s="8">
        <v>14</v>
      </c>
      <c r="G35" s="11"/>
      <c r="H35" s="20">
        <v>14500</v>
      </c>
      <c r="I35" s="12">
        <v>2339</v>
      </c>
      <c r="J35" s="18">
        <v>63.5</v>
      </c>
      <c r="K35" s="18">
        <v>0.40600000000000003</v>
      </c>
      <c r="L35" s="7" t="s">
        <v>47</v>
      </c>
      <c r="M35" s="18"/>
    </row>
    <row r="36" spans="1:13" ht="24" customHeight="1">
      <c r="A36" s="4" t="s">
        <v>105</v>
      </c>
      <c r="B36" s="18"/>
      <c r="C36" s="18"/>
      <c r="D36" s="17"/>
      <c r="E36" s="7" t="s">
        <v>19</v>
      </c>
      <c r="F36" s="8">
        <v>14</v>
      </c>
      <c r="G36" s="11"/>
      <c r="H36" s="21"/>
      <c r="I36" s="13"/>
      <c r="J36" s="18"/>
      <c r="K36" s="18"/>
      <c r="L36" s="7" t="s">
        <v>47</v>
      </c>
      <c r="M36" s="18"/>
    </row>
    <row r="37" spans="1:13" ht="24" customHeight="1">
      <c r="A37" s="4" t="s">
        <v>105</v>
      </c>
      <c r="B37" s="7" t="s">
        <v>48</v>
      </c>
      <c r="C37" s="7" t="s">
        <v>18</v>
      </c>
      <c r="D37" s="17"/>
      <c r="E37" s="7" t="s">
        <v>49</v>
      </c>
      <c r="F37" s="8">
        <v>22</v>
      </c>
      <c r="G37" s="11"/>
      <c r="H37" s="11">
        <v>10000</v>
      </c>
      <c r="I37" s="7">
        <v>1613</v>
      </c>
      <c r="J37" s="18"/>
      <c r="K37" s="18"/>
      <c r="L37" s="7"/>
      <c r="M37" s="18"/>
    </row>
    <row r="38" spans="1:13" ht="24" customHeight="1">
      <c r="A38" s="4" t="s">
        <v>105</v>
      </c>
      <c r="B38" s="18" t="s">
        <v>50</v>
      </c>
      <c r="C38" s="18" t="s">
        <v>18</v>
      </c>
      <c r="D38" s="17"/>
      <c r="E38" s="7" t="s">
        <v>51</v>
      </c>
      <c r="F38" s="8">
        <v>12</v>
      </c>
      <c r="G38" s="11">
        <v>422</v>
      </c>
      <c r="H38" s="11">
        <f t="shared" ref="H38:H43" si="3">F38*G38</f>
        <v>5064</v>
      </c>
      <c r="I38" s="7">
        <v>817</v>
      </c>
      <c r="J38" s="18"/>
      <c r="K38" s="18"/>
      <c r="L38" s="7" t="s">
        <v>52</v>
      </c>
      <c r="M38" s="18"/>
    </row>
    <row r="39" spans="1:13" ht="24" customHeight="1">
      <c r="A39" s="4" t="s">
        <v>105</v>
      </c>
      <c r="B39" s="18"/>
      <c r="C39" s="18"/>
      <c r="D39" s="17"/>
      <c r="E39" s="7" t="s">
        <v>19</v>
      </c>
      <c r="F39" s="8">
        <v>10</v>
      </c>
      <c r="G39" s="11">
        <v>302</v>
      </c>
      <c r="H39" s="11">
        <f t="shared" si="3"/>
        <v>3020</v>
      </c>
      <c r="I39" s="7">
        <v>487</v>
      </c>
      <c r="J39" s="18"/>
      <c r="K39" s="18"/>
      <c r="L39" s="7" t="s">
        <v>52</v>
      </c>
      <c r="M39" s="18"/>
    </row>
    <row r="40" spans="1:13" ht="24" customHeight="1">
      <c r="A40" s="4" t="s">
        <v>105</v>
      </c>
      <c r="B40" s="18" t="s">
        <v>53</v>
      </c>
      <c r="C40" s="18" t="s">
        <v>18</v>
      </c>
      <c r="D40" s="17">
        <v>1</v>
      </c>
      <c r="E40" s="7" t="s">
        <v>54</v>
      </c>
      <c r="F40" s="8">
        <v>10</v>
      </c>
      <c r="G40" s="11">
        <v>150</v>
      </c>
      <c r="H40" s="11">
        <f t="shared" si="3"/>
        <v>1500</v>
      </c>
      <c r="I40" s="7">
        <v>242</v>
      </c>
      <c r="J40" s="18">
        <v>86</v>
      </c>
      <c r="K40" s="18">
        <v>0.44800000000000001</v>
      </c>
      <c r="L40" s="7" t="s">
        <v>55</v>
      </c>
      <c r="M40" s="18"/>
    </row>
    <row r="41" spans="1:13" ht="24" customHeight="1">
      <c r="A41" s="4" t="s">
        <v>105</v>
      </c>
      <c r="B41" s="18"/>
      <c r="C41" s="18"/>
      <c r="D41" s="17"/>
      <c r="E41" s="7" t="s">
        <v>19</v>
      </c>
      <c r="F41" s="8">
        <v>16</v>
      </c>
      <c r="G41" s="11">
        <v>150</v>
      </c>
      <c r="H41" s="11">
        <f t="shared" si="3"/>
        <v>2400</v>
      </c>
      <c r="I41" s="7">
        <v>387</v>
      </c>
      <c r="J41" s="18"/>
      <c r="K41" s="18"/>
      <c r="L41" s="7" t="s">
        <v>55</v>
      </c>
      <c r="M41" s="18"/>
    </row>
    <row r="42" spans="1:13" ht="24" customHeight="1">
      <c r="A42" s="4" t="s">
        <v>105</v>
      </c>
      <c r="B42" s="18"/>
      <c r="C42" s="18"/>
      <c r="D42" s="17"/>
      <c r="E42" s="7" t="s">
        <v>56</v>
      </c>
      <c r="F42" s="8">
        <v>5</v>
      </c>
      <c r="G42" s="11">
        <v>80</v>
      </c>
      <c r="H42" s="11">
        <f t="shared" si="3"/>
        <v>400</v>
      </c>
      <c r="I42" s="7">
        <v>65</v>
      </c>
      <c r="J42" s="18"/>
      <c r="K42" s="18"/>
      <c r="L42" s="7" t="s">
        <v>55</v>
      </c>
      <c r="M42" s="18"/>
    </row>
    <row r="43" spans="1:13" ht="24" customHeight="1">
      <c r="A43" s="4" t="s">
        <v>105</v>
      </c>
      <c r="B43" s="7" t="s">
        <v>57</v>
      </c>
      <c r="C43" s="7" t="s">
        <v>18</v>
      </c>
      <c r="D43" s="17"/>
      <c r="E43" s="7" t="s">
        <v>58</v>
      </c>
      <c r="F43" s="8">
        <v>100</v>
      </c>
      <c r="G43" s="11">
        <v>80</v>
      </c>
      <c r="H43" s="11">
        <f t="shared" si="3"/>
        <v>8000</v>
      </c>
      <c r="I43" s="7">
        <v>1290</v>
      </c>
      <c r="J43" s="18"/>
      <c r="K43" s="18"/>
      <c r="L43" s="7" t="s">
        <v>59</v>
      </c>
      <c r="M43" s="18"/>
    </row>
    <row r="44" spans="1:13" ht="24" customHeight="1">
      <c r="A44" s="4" t="s">
        <v>105</v>
      </c>
      <c r="B44" s="18" t="s">
        <v>60</v>
      </c>
      <c r="C44" s="18" t="s">
        <v>18</v>
      </c>
      <c r="D44" s="17">
        <v>1</v>
      </c>
      <c r="E44" s="7" t="s">
        <v>61</v>
      </c>
      <c r="F44" s="8">
        <v>4</v>
      </c>
      <c r="G44" s="11"/>
      <c r="H44" s="20">
        <v>1500</v>
      </c>
      <c r="I44" s="12">
        <v>242</v>
      </c>
      <c r="J44" s="18">
        <v>85</v>
      </c>
      <c r="K44" s="18">
        <v>0.39300000000000002</v>
      </c>
      <c r="L44" s="7" t="s">
        <v>62</v>
      </c>
      <c r="M44" s="18"/>
    </row>
    <row r="45" spans="1:13" ht="24" customHeight="1">
      <c r="A45" s="4" t="s">
        <v>105</v>
      </c>
      <c r="B45" s="18"/>
      <c r="C45" s="18"/>
      <c r="D45" s="17"/>
      <c r="E45" s="7" t="s">
        <v>63</v>
      </c>
      <c r="F45" s="8">
        <v>2</v>
      </c>
      <c r="G45" s="11"/>
      <c r="H45" s="23"/>
      <c r="I45" s="22"/>
      <c r="J45" s="18"/>
      <c r="K45" s="18"/>
      <c r="L45" s="7" t="s">
        <v>62</v>
      </c>
      <c r="M45" s="18"/>
    </row>
    <row r="46" spans="1:13" ht="24" customHeight="1">
      <c r="A46" s="4" t="s">
        <v>105</v>
      </c>
      <c r="B46" s="18"/>
      <c r="C46" s="18"/>
      <c r="D46" s="17"/>
      <c r="E46" s="7" t="s">
        <v>64</v>
      </c>
      <c r="F46" s="8">
        <v>7</v>
      </c>
      <c r="G46" s="11"/>
      <c r="H46" s="23"/>
      <c r="I46" s="22"/>
      <c r="J46" s="18"/>
      <c r="K46" s="18"/>
      <c r="L46" s="7" t="s">
        <v>62</v>
      </c>
      <c r="M46" s="18"/>
    </row>
    <row r="47" spans="1:13" ht="24" customHeight="1">
      <c r="A47" s="4" t="s">
        <v>105</v>
      </c>
      <c r="B47" s="18"/>
      <c r="C47" s="18"/>
      <c r="D47" s="17"/>
      <c r="E47" s="7" t="s">
        <v>65</v>
      </c>
      <c r="F47" s="8">
        <v>2</v>
      </c>
      <c r="G47" s="11"/>
      <c r="H47" s="23"/>
      <c r="I47" s="22"/>
      <c r="J47" s="18"/>
      <c r="K47" s="18"/>
      <c r="L47" s="7" t="s">
        <v>62</v>
      </c>
      <c r="M47" s="18"/>
    </row>
    <row r="48" spans="1:13" ht="24" customHeight="1">
      <c r="A48" s="4" t="s">
        <v>105</v>
      </c>
      <c r="B48" s="18"/>
      <c r="C48" s="18"/>
      <c r="D48" s="17"/>
      <c r="E48" s="7" t="s">
        <v>66</v>
      </c>
      <c r="F48" s="8">
        <v>1</v>
      </c>
      <c r="G48" s="11"/>
      <c r="H48" s="23"/>
      <c r="I48" s="22"/>
      <c r="J48" s="18"/>
      <c r="K48" s="18"/>
      <c r="L48" s="7" t="s">
        <v>62</v>
      </c>
      <c r="M48" s="18"/>
    </row>
    <row r="49" spans="1:13" ht="24" customHeight="1">
      <c r="A49" s="4" t="s">
        <v>105</v>
      </c>
      <c r="B49" s="18"/>
      <c r="C49" s="18"/>
      <c r="D49" s="17"/>
      <c r="E49" s="7" t="s">
        <v>67</v>
      </c>
      <c r="F49" s="8">
        <v>1</v>
      </c>
      <c r="G49" s="11"/>
      <c r="H49" s="23"/>
      <c r="I49" s="22"/>
      <c r="J49" s="18"/>
      <c r="K49" s="18"/>
      <c r="L49" s="7" t="s">
        <v>62</v>
      </c>
      <c r="M49" s="18"/>
    </row>
    <row r="50" spans="1:13" ht="24" customHeight="1">
      <c r="A50" s="4" t="s">
        <v>105</v>
      </c>
      <c r="B50" s="18"/>
      <c r="C50" s="18"/>
      <c r="D50" s="17"/>
      <c r="E50" s="7" t="s">
        <v>68</v>
      </c>
      <c r="F50" s="8">
        <v>1</v>
      </c>
      <c r="G50" s="11"/>
      <c r="H50" s="23"/>
      <c r="I50" s="22"/>
      <c r="J50" s="18"/>
      <c r="K50" s="18"/>
      <c r="L50" s="7" t="s">
        <v>62</v>
      </c>
      <c r="M50" s="18"/>
    </row>
    <row r="51" spans="1:13" ht="24" customHeight="1">
      <c r="A51" s="4" t="s">
        <v>105</v>
      </c>
      <c r="B51" s="18"/>
      <c r="C51" s="18"/>
      <c r="D51" s="17"/>
      <c r="E51" s="7" t="s">
        <v>42</v>
      </c>
      <c r="F51" s="8">
        <v>1</v>
      </c>
      <c r="G51" s="11"/>
      <c r="H51" s="23"/>
      <c r="I51" s="22"/>
      <c r="J51" s="18"/>
      <c r="K51" s="18"/>
      <c r="L51" s="7" t="s">
        <v>62</v>
      </c>
      <c r="M51" s="18"/>
    </row>
    <row r="52" spans="1:13" ht="24" customHeight="1">
      <c r="A52" s="4" t="s">
        <v>105</v>
      </c>
      <c r="B52" s="18"/>
      <c r="C52" s="18"/>
      <c r="D52" s="17"/>
      <c r="E52" s="7" t="s">
        <v>69</v>
      </c>
      <c r="F52" s="8">
        <v>1</v>
      </c>
      <c r="G52" s="11"/>
      <c r="H52" s="23"/>
      <c r="I52" s="22"/>
      <c r="J52" s="18"/>
      <c r="K52" s="18"/>
      <c r="L52" s="7" t="s">
        <v>62</v>
      </c>
      <c r="M52" s="18"/>
    </row>
    <row r="53" spans="1:13" ht="24" customHeight="1">
      <c r="A53" s="4" t="s">
        <v>105</v>
      </c>
      <c r="B53" s="18"/>
      <c r="C53" s="18"/>
      <c r="D53" s="17"/>
      <c r="E53" s="7" t="s">
        <v>70</v>
      </c>
      <c r="F53" s="8">
        <v>4</v>
      </c>
      <c r="G53" s="11"/>
      <c r="H53" s="21"/>
      <c r="I53" s="13"/>
      <c r="J53" s="18"/>
      <c r="K53" s="18"/>
      <c r="L53" s="7" t="s">
        <v>62</v>
      </c>
      <c r="M53" s="18"/>
    </row>
    <row r="54" spans="1:13" ht="24" customHeight="1">
      <c r="A54" s="4" t="s">
        <v>105</v>
      </c>
      <c r="B54" s="7" t="s">
        <v>71</v>
      </c>
      <c r="C54" s="7" t="s">
        <v>18</v>
      </c>
      <c r="D54" s="17"/>
      <c r="E54" s="7" t="s">
        <v>72</v>
      </c>
      <c r="F54" s="8">
        <v>14</v>
      </c>
      <c r="G54" s="11">
        <v>1165</v>
      </c>
      <c r="H54" s="11">
        <f t="shared" ref="H54:H55" si="4">F54*G54</f>
        <v>16310</v>
      </c>
      <c r="I54" s="7">
        <v>2631</v>
      </c>
      <c r="J54" s="18"/>
      <c r="K54" s="18"/>
      <c r="L54" s="7" t="s">
        <v>37</v>
      </c>
      <c r="M54" s="18"/>
    </row>
    <row r="55" spans="1:13" ht="24" customHeight="1">
      <c r="A55" s="4" t="s">
        <v>105</v>
      </c>
      <c r="B55" s="7" t="s">
        <v>73</v>
      </c>
      <c r="C55" s="7" t="s">
        <v>18</v>
      </c>
      <c r="D55" s="17"/>
      <c r="E55" s="7" t="s">
        <v>74</v>
      </c>
      <c r="F55" s="8">
        <v>30</v>
      </c>
      <c r="G55" s="11">
        <v>150</v>
      </c>
      <c r="H55" s="11">
        <f t="shared" si="4"/>
        <v>4500</v>
      </c>
      <c r="I55" s="7">
        <v>726</v>
      </c>
      <c r="J55" s="18"/>
      <c r="K55" s="18"/>
      <c r="L55" s="7" t="s">
        <v>75</v>
      </c>
      <c r="M55" s="18"/>
    </row>
    <row r="56" spans="1:13" ht="24" customHeight="1">
      <c r="A56" s="4" t="s">
        <v>105</v>
      </c>
      <c r="B56" s="24" t="s">
        <v>76</v>
      </c>
      <c r="C56" s="24" t="s">
        <v>18</v>
      </c>
      <c r="D56" s="17"/>
      <c r="E56" s="7" t="s">
        <v>77</v>
      </c>
      <c r="F56" s="8">
        <v>13</v>
      </c>
      <c r="G56" s="11"/>
      <c r="H56" s="11">
        <v>8000</v>
      </c>
      <c r="I56" s="7">
        <v>1290</v>
      </c>
      <c r="J56" s="18"/>
      <c r="K56" s="18"/>
      <c r="L56" s="7" t="s">
        <v>78</v>
      </c>
      <c r="M56" s="18"/>
    </row>
    <row r="57" spans="1:13" ht="24" customHeight="1">
      <c r="A57" s="4" t="s">
        <v>105</v>
      </c>
      <c r="B57" s="25"/>
      <c r="C57" s="25"/>
      <c r="D57" s="17"/>
      <c r="E57" s="7" t="s">
        <v>19</v>
      </c>
      <c r="F57" s="8">
        <v>4</v>
      </c>
      <c r="G57" s="11">
        <v>480</v>
      </c>
      <c r="H57" s="11">
        <f t="shared" ref="H57:H61" si="5">F57*G57</f>
        <v>1920</v>
      </c>
      <c r="I57" s="7">
        <v>310</v>
      </c>
      <c r="J57" s="18"/>
      <c r="K57" s="18"/>
      <c r="L57" s="7" t="s">
        <v>79</v>
      </c>
      <c r="M57" s="18"/>
    </row>
    <row r="58" spans="1:13" ht="24" customHeight="1">
      <c r="A58" s="4" t="s">
        <v>105</v>
      </c>
      <c r="B58" s="25"/>
      <c r="C58" s="25"/>
      <c r="D58" s="17"/>
      <c r="E58" s="7" t="s">
        <v>80</v>
      </c>
      <c r="F58" s="8">
        <v>10</v>
      </c>
      <c r="G58" s="11">
        <v>95</v>
      </c>
      <c r="H58" s="11">
        <f t="shared" si="5"/>
        <v>950</v>
      </c>
      <c r="I58" s="7">
        <v>153</v>
      </c>
      <c r="J58" s="18"/>
      <c r="K58" s="18"/>
      <c r="L58" s="7" t="s">
        <v>81</v>
      </c>
      <c r="M58" s="18"/>
    </row>
    <row r="59" spans="1:13" ht="24" customHeight="1">
      <c r="A59" s="4" t="s">
        <v>105</v>
      </c>
      <c r="B59" s="25"/>
      <c r="C59" s="25"/>
      <c r="D59" s="17"/>
      <c r="E59" s="7" t="s">
        <v>69</v>
      </c>
      <c r="F59" s="8">
        <v>2</v>
      </c>
      <c r="G59" s="11">
        <v>200</v>
      </c>
      <c r="H59" s="11">
        <f t="shared" si="5"/>
        <v>400</v>
      </c>
      <c r="I59" s="7">
        <v>65</v>
      </c>
      <c r="J59" s="18"/>
      <c r="K59" s="18"/>
      <c r="L59" s="7" t="s">
        <v>62</v>
      </c>
      <c r="M59" s="18"/>
    </row>
    <row r="60" spans="1:13" ht="24" customHeight="1">
      <c r="A60" s="4" t="s">
        <v>105</v>
      </c>
      <c r="B60" s="25"/>
      <c r="C60" s="25"/>
      <c r="D60" s="17"/>
      <c r="E60" s="7" t="s">
        <v>82</v>
      </c>
      <c r="F60" s="8">
        <v>3</v>
      </c>
      <c r="G60" s="11">
        <v>200</v>
      </c>
      <c r="H60" s="11">
        <f t="shared" si="5"/>
        <v>600</v>
      </c>
      <c r="I60" s="7">
        <v>97</v>
      </c>
      <c r="J60" s="18"/>
      <c r="K60" s="18"/>
      <c r="L60" s="7" t="s">
        <v>62</v>
      </c>
      <c r="M60" s="18"/>
    </row>
    <row r="61" spans="1:13" ht="24" customHeight="1">
      <c r="A61" s="4" t="s">
        <v>105</v>
      </c>
      <c r="B61" s="26"/>
      <c r="C61" s="26"/>
      <c r="D61" s="17"/>
      <c r="E61" s="7" t="s">
        <v>64</v>
      </c>
      <c r="F61" s="8">
        <v>15</v>
      </c>
      <c r="G61" s="11">
        <v>200</v>
      </c>
      <c r="H61" s="11">
        <f t="shared" si="5"/>
        <v>3000</v>
      </c>
      <c r="I61" s="7">
        <v>484</v>
      </c>
      <c r="J61" s="18"/>
      <c r="K61" s="18"/>
      <c r="L61" s="7" t="s">
        <v>62</v>
      </c>
      <c r="M61" s="18"/>
    </row>
    <row r="62" spans="1:13" ht="24" customHeight="1">
      <c r="A62" s="4" t="s">
        <v>105</v>
      </c>
      <c r="B62" s="7" t="s">
        <v>94</v>
      </c>
      <c r="C62" s="7" t="s">
        <v>18</v>
      </c>
      <c r="D62" s="17">
        <v>1</v>
      </c>
      <c r="E62" s="7" t="s">
        <v>95</v>
      </c>
      <c r="F62" s="8">
        <v>113</v>
      </c>
      <c r="G62" s="11"/>
      <c r="H62" s="11">
        <v>6253</v>
      </c>
      <c r="I62" s="7">
        <v>1009</v>
      </c>
      <c r="J62" s="18">
        <v>89.5</v>
      </c>
      <c r="K62" s="18">
        <v>0.41899999999999998</v>
      </c>
      <c r="L62" s="7" t="s">
        <v>85</v>
      </c>
      <c r="M62" s="18"/>
    </row>
    <row r="63" spans="1:13" ht="24" customHeight="1">
      <c r="A63" s="4" t="s">
        <v>105</v>
      </c>
      <c r="B63" s="7" t="s">
        <v>96</v>
      </c>
      <c r="C63" s="7" t="s">
        <v>18</v>
      </c>
      <c r="D63" s="17"/>
      <c r="E63" s="7" t="s">
        <v>97</v>
      </c>
      <c r="F63" s="8">
        <v>30</v>
      </c>
      <c r="G63" s="11">
        <v>220</v>
      </c>
      <c r="H63" s="11">
        <f t="shared" ref="H63:H69" si="6">F63*G63</f>
        <v>6600</v>
      </c>
      <c r="I63" s="7">
        <v>1065</v>
      </c>
      <c r="J63" s="18"/>
      <c r="K63" s="18"/>
      <c r="L63" s="7" t="s">
        <v>98</v>
      </c>
      <c r="M63" s="18"/>
    </row>
    <row r="64" spans="1:13" ht="24" customHeight="1">
      <c r="A64" s="4" t="s">
        <v>105</v>
      </c>
      <c r="B64" s="18" t="s">
        <v>83</v>
      </c>
      <c r="C64" s="18" t="s">
        <v>18</v>
      </c>
      <c r="D64" s="17">
        <v>1</v>
      </c>
      <c r="E64" s="7" t="s">
        <v>84</v>
      </c>
      <c r="F64" s="8">
        <v>9</v>
      </c>
      <c r="G64" s="11">
        <v>320</v>
      </c>
      <c r="H64" s="11">
        <f t="shared" si="6"/>
        <v>2880</v>
      </c>
      <c r="I64" s="7">
        <v>465</v>
      </c>
      <c r="J64" s="18">
        <v>42</v>
      </c>
      <c r="K64" s="18">
        <v>0.248</v>
      </c>
      <c r="L64" s="7" t="s">
        <v>85</v>
      </c>
      <c r="M64" s="18"/>
    </row>
    <row r="65" spans="1:13" ht="24" customHeight="1">
      <c r="A65" s="4" t="s">
        <v>105</v>
      </c>
      <c r="B65" s="18"/>
      <c r="C65" s="18"/>
      <c r="D65" s="17"/>
      <c r="E65" s="7" t="s">
        <v>86</v>
      </c>
      <c r="F65" s="8">
        <v>4</v>
      </c>
      <c r="G65" s="11">
        <v>360</v>
      </c>
      <c r="H65" s="11">
        <f t="shared" si="6"/>
        <v>1440</v>
      </c>
      <c r="I65" s="7">
        <v>232</v>
      </c>
      <c r="J65" s="18"/>
      <c r="K65" s="18"/>
      <c r="L65" s="7" t="s">
        <v>85</v>
      </c>
      <c r="M65" s="18"/>
    </row>
    <row r="66" spans="1:13" ht="24" customHeight="1">
      <c r="A66" s="4" t="s">
        <v>105</v>
      </c>
      <c r="B66" s="7" t="s">
        <v>87</v>
      </c>
      <c r="C66" s="7" t="s">
        <v>39</v>
      </c>
      <c r="D66" s="17"/>
      <c r="E66" s="7" t="s">
        <v>88</v>
      </c>
      <c r="F66" s="8">
        <v>4</v>
      </c>
      <c r="G66" s="11">
        <v>325</v>
      </c>
      <c r="H66" s="11">
        <f t="shared" si="6"/>
        <v>1300</v>
      </c>
      <c r="I66" s="7">
        <v>210</v>
      </c>
      <c r="J66" s="18"/>
      <c r="K66" s="18"/>
      <c r="L66" s="7" t="s">
        <v>85</v>
      </c>
      <c r="M66" s="18"/>
    </row>
    <row r="67" spans="1:13" ht="24" customHeight="1">
      <c r="A67" s="4" t="s">
        <v>105</v>
      </c>
      <c r="B67" s="7" t="s">
        <v>60</v>
      </c>
      <c r="C67" s="7" t="s">
        <v>18</v>
      </c>
      <c r="D67" s="17"/>
      <c r="E67" s="7" t="s">
        <v>89</v>
      </c>
      <c r="F67" s="8">
        <v>8</v>
      </c>
      <c r="G67" s="11">
        <v>90</v>
      </c>
      <c r="H67" s="11">
        <f t="shared" si="6"/>
        <v>720</v>
      </c>
      <c r="I67" s="7">
        <v>116</v>
      </c>
      <c r="J67" s="18"/>
      <c r="K67" s="18"/>
      <c r="L67" s="7"/>
      <c r="M67" s="18"/>
    </row>
    <row r="68" spans="1:13" ht="24" customHeight="1">
      <c r="A68" s="4" t="s">
        <v>105</v>
      </c>
      <c r="B68" s="18" t="s">
        <v>90</v>
      </c>
      <c r="C68" s="18" t="s">
        <v>91</v>
      </c>
      <c r="D68" s="17"/>
      <c r="E68" s="7" t="s">
        <v>92</v>
      </c>
      <c r="F68" s="8">
        <v>5</v>
      </c>
      <c r="G68" s="11">
        <v>280</v>
      </c>
      <c r="H68" s="11">
        <f t="shared" si="6"/>
        <v>1400</v>
      </c>
      <c r="I68" s="7">
        <v>226</v>
      </c>
      <c r="J68" s="18"/>
      <c r="K68" s="18"/>
      <c r="L68" s="7" t="s">
        <v>85</v>
      </c>
      <c r="M68" s="18"/>
    </row>
    <row r="69" spans="1:13" ht="24" customHeight="1">
      <c r="A69" s="4" t="s">
        <v>105</v>
      </c>
      <c r="B69" s="18"/>
      <c r="C69" s="18"/>
      <c r="D69" s="17"/>
      <c r="E69" s="7" t="s">
        <v>93</v>
      </c>
      <c r="F69" s="8">
        <v>3</v>
      </c>
      <c r="G69" s="11">
        <v>320</v>
      </c>
      <c r="H69" s="11">
        <f t="shared" si="6"/>
        <v>960</v>
      </c>
      <c r="I69" s="7">
        <v>155</v>
      </c>
      <c r="J69" s="18"/>
      <c r="K69" s="18"/>
      <c r="L69" s="7" t="s">
        <v>85</v>
      </c>
      <c r="M69" s="18"/>
    </row>
    <row r="70" spans="1:13" ht="24" customHeight="1">
      <c r="B70" s="10"/>
      <c r="C70" s="10" t="s">
        <v>99</v>
      </c>
      <c r="D70" s="10">
        <v>2</v>
      </c>
      <c r="E70" s="10">
        <v>78</v>
      </c>
      <c r="F70" s="10">
        <v>0.85</v>
      </c>
      <c r="G70" s="10"/>
      <c r="H70" s="10"/>
      <c r="I70" s="10"/>
      <c r="J70" s="10"/>
      <c r="K70" s="10"/>
      <c r="L70" s="10"/>
      <c r="M70" s="10"/>
    </row>
    <row r="71" spans="1:13" ht="24" customHeight="1">
      <c r="B71" s="10"/>
      <c r="C71" s="10" t="s">
        <v>100</v>
      </c>
      <c r="D71" s="10">
        <v>1</v>
      </c>
      <c r="E71" s="10">
        <v>47.5</v>
      </c>
      <c r="F71" s="10">
        <v>0.40100000000000002</v>
      </c>
      <c r="G71" s="10"/>
      <c r="H71" s="10"/>
      <c r="I71" s="10"/>
      <c r="J71" s="10"/>
      <c r="K71" s="10"/>
      <c r="L71" s="10"/>
      <c r="M71" s="10"/>
    </row>
    <row r="72" spans="1:13" ht="24" customHeight="1">
      <c r="B72" s="10"/>
      <c r="C72" s="10" t="s">
        <v>101</v>
      </c>
      <c r="D72" s="10">
        <v>11</v>
      </c>
      <c r="E72" s="10">
        <v>795</v>
      </c>
      <c r="F72" s="10">
        <v>4.0830000000000002</v>
      </c>
      <c r="G72" s="10"/>
      <c r="H72" s="10"/>
      <c r="I72" s="10"/>
      <c r="J72" s="10"/>
      <c r="K72" s="10"/>
      <c r="L72" s="10"/>
      <c r="M72" s="10"/>
    </row>
    <row r="73" spans="1:13" ht="24" customHeight="1">
      <c r="B73" s="10"/>
      <c r="C73" s="10"/>
      <c r="D73" s="10">
        <f>SUM(D70:D72)</f>
        <v>14</v>
      </c>
      <c r="E73" s="10">
        <f>SUM(E70:E72)</f>
        <v>920.5</v>
      </c>
      <c r="F73" s="10">
        <f>SUM(F70:F72)</f>
        <v>5.3339999999999996</v>
      </c>
      <c r="G73" s="10"/>
      <c r="H73" s="10"/>
      <c r="I73" s="10"/>
      <c r="J73" s="10"/>
      <c r="K73" s="10"/>
      <c r="L73" s="10"/>
      <c r="M73" s="10"/>
    </row>
    <row r="74" spans="1:13" ht="24" customHeight="1"/>
    <row r="75" spans="1:13" ht="24" customHeight="1"/>
    <row r="76" spans="1:13" ht="24" customHeight="1"/>
    <row r="77" spans="1:13" ht="24" customHeight="1"/>
    <row r="78" spans="1:13" ht="24" customHeight="1"/>
    <row r="79" spans="1:13" ht="24" customHeight="1"/>
    <row r="80" spans="1:13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</sheetData>
  <mergeCells count="78">
    <mergeCell ref="M4:M6"/>
    <mergeCell ref="J2:L2"/>
    <mergeCell ref="C14:C22"/>
    <mergeCell ref="B14:B22"/>
    <mergeCell ref="B4:B6"/>
    <mergeCell ref="C4:C6"/>
    <mergeCell ref="D33:D34"/>
    <mergeCell ref="J33:J34"/>
    <mergeCell ref="K33:K34"/>
    <mergeCell ref="I12:I13"/>
    <mergeCell ref="D14:D22"/>
    <mergeCell ref="J14:J22"/>
    <mergeCell ref="K14:K22"/>
    <mergeCell ref="D23:D30"/>
    <mergeCell ref="J23:J30"/>
    <mergeCell ref="K23:K30"/>
    <mergeCell ref="B23:B30"/>
    <mergeCell ref="C23:C30"/>
    <mergeCell ref="B35:B36"/>
    <mergeCell ref="C35:C36"/>
    <mergeCell ref="D35:D39"/>
    <mergeCell ref="J35:J39"/>
    <mergeCell ref="K35:K39"/>
    <mergeCell ref="I35:I36"/>
    <mergeCell ref="M33:M34"/>
    <mergeCell ref="B33:B34"/>
    <mergeCell ref="C33:C34"/>
    <mergeCell ref="B38:B39"/>
    <mergeCell ref="C38:C39"/>
    <mergeCell ref="B40:B42"/>
    <mergeCell ref="C40:C42"/>
    <mergeCell ref="D40:D43"/>
    <mergeCell ref="J40:J43"/>
    <mergeCell ref="K40:K43"/>
    <mergeCell ref="B44:B53"/>
    <mergeCell ref="C44:C53"/>
    <mergeCell ref="D44:D61"/>
    <mergeCell ref="J44:J61"/>
    <mergeCell ref="K44:K61"/>
    <mergeCell ref="H44:H53"/>
    <mergeCell ref="C56:C61"/>
    <mergeCell ref="B56:B61"/>
    <mergeCell ref="I44:I53"/>
    <mergeCell ref="B64:B65"/>
    <mergeCell ref="C64:C65"/>
    <mergeCell ref="D64:D69"/>
    <mergeCell ref="J64:J69"/>
    <mergeCell ref="K64:K69"/>
    <mergeCell ref="M64:M69"/>
    <mergeCell ref="B68:B69"/>
    <mergeCell ref="C68:C69"/>
    <mergeCell ref="B1:M1"/>
    <mergeCell ref="H12:H13"/>
    <mergeCell ref="C11:C13"/>
    <mergeCell ref="B11:B13"/>
    <mergeCell ref="B7:B10"/>
    <mergeCell ref="C7:C10"/>
    <mergeCell ref="D7:D13"/>
    <mergeCell ref="J7:J13"/>
    <mergeCell ref="K7:K13"/>
    <mergeCell ref="M7:M13"/>
    <mergeCell ref="H2:I2"/>
    <mergeCell ref="D2:E2"/>
    <mergeCell ref="F2:G2"/>
    <mergeCell ref="B2:C2"/>
    <mergeCell ref="D4:D6"/>
    <mergeCell ref="D62:D63"/>
    <mergeCell ref="J62:J63"/>
    <mergeCell ref="K62:K63"/>
    <mergeCell ref="M62:M63"/>
    <mergeCell ref="M44:M61"/>
    <mergeCell ref="M35:M39"/>
    <mergeCell ref="M40:M43"/>
    <mergeCell ref="H35:H36"/>
    <mergeCell ref="M14:M22"/>
    <mergeCell ref="M23:M30"/>
    <mergeCell ref="J4:J6"/>
    <mergeCell ref="K4:K6"/>
  </mergeCells>
  <phoneticPr fontId="1" type="noConversion"/>
  <printOptions verticalCentered="1"/>
  <pageMargins left="0.11811023622047" right="0.11811023622047" top="0.11811023622047" bottom="0.11811023622047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京258库飞机-第143单-2015-09-29-14包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微软用户</cp:lastModifiedBy>
  <dcterms:created xsi:type="dcterms:W3CDTF">2011-12-31T06:39:17Z</dcterms:created>
  <dcterms:modified xsi:type="dcterms:W3CDTF">2015-09-29T16:29:34Z</dcterms:modified>
</cp:coreProperties>
</file>